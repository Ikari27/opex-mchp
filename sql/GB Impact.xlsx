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epot\2025\00_Operational Excellence\"/>
    </mc:Choice>
  </mc:AlternateContent>
  <xr:revisionPtr revIDLastSave="0" documentId="13_ncr:1_{C2169053-6AAD-4AF4-8574-4A52C14223DB}" xr6:coauthVersionLast="47" xr6:coauthVersionMax="47" xr10:uidLastSave="{00000000-0000-0000-0000-000000000000}"/>
  <bookViews>
    <workbookView xWindow="28455" yWindow="-16530" windowWidth="29040" windowHeight="15720" xr2:uid="{67C03576-5BB4-4DCD-A861-7B51E9A2C67D}"/>
  </bookViews>
  <sheets>
    <sheet name="Impact M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8" i="1" l="1"/>
  <c r="K4" i="1"/>
  <c r="J16" i="1"/>
  <c r="L16" i="1" s="1"/>
  <c r="E22" i="1"/>
  <c r="E26" i="1" s="1"/>
  <c r="E21" i="1"/>
  <c r="L14" i="1" l="1"/>
  <c r="L13" i="1"/>
  <c r="L12" i="1"/>
  <c r="L11" i="1"/>
  <c r="K9" i="1"/>
  <c r="K8" i="1"/>
  <c r="L8" i="1" s="1"/>
  <c r="K7" i="1"/>
  <c r="L7" i="1" s="1"/>
  <c r="L6" i="1"/>
  <c r="L15" i="1"/>
  <c r="K5" i="1"/>
  <c r="L5" i="1" s="1"/>
  <c r="J4" i="1"/>
  <c r="L10" i="1"/>
  <c r="J18" i="1" l="1"/>
  <c r="K18" i="1"/>
  <c r="L4" i="1"/>
  <c r="L17" i="1"/>
  <c r="L9" i="1"/>
  <c r="L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Flora Abayan - A42137</author>
    <author>Flor Abayan - A42137</author>
  </authors>
  <commentList>
    <comment ref="J7" authorId="0" shapeId="0" xr:uid="{C9FC6364-DCE2-485B-A1DE-8614A9652F01}">
      <text>
        <r>
          <rPr>
            <b/>
            <sz val="9"/>
            <color indexed="81"/>
            <rFont val="Tahoma"/>
            <family val="2"/>
          </rPr>
          <t>519.45849</t>
        </r>
        <r>
          <rPr>
            <sz val="9"/>
            <color indexed="81"/>
            <rFont val="Tahoma"/>
            <family val="2"/>
          </rPr>
          <t xml:space="preserve">
278</t>
        </r>
      </text>
    </comment>
    <comment ref="J8" authorId="0" shapeId="0" xr:uid="{5CC41312-EB48-48F3-B5D7-3061EF80D4CA}">
      <text>
        <r>
          <rPr>
            <b/>
            <sz val="9"/>
            <color indexed="81"/>
            <rFont val="Tahoma"/>
            <family val="2"/>
          </rPr>
          <t xml:space="preserve">$1010.9K This amount is based on ASP (ASM+Test Cost need to be deducted).
If Probe Cost alone Savings will be </t>
        </r>
        <r>
          <rPr>
            <sz val="9"/>
            <color indexed="81"/>
            <rFont val="Tahoma"/>
            <family val="2"/>
          </rPr>
          <t xml:space="preserve">
$185.5155</t>
        </r>
      </text>
    </comment>
    <comment ref="F10" authorId="0" shapeId="0" xr:uid="{9AD72B23-45EE-4B7F-9F70-A2DB641EA9CC}">
      <text>
        <r>
          <rPr>
            <b/>
            <sz val="9"/>
            <color indexed="81"/>
            <rFont val="Tahoma"/>
            <family val="2"/>
          </rPr>
          <t>Changed Project from Opens Reject Improvement on 24L_4X4 QFN COLD Setup</t>
        </r>
      </text>
    </comment>
    <comment ref="J15" authorId="0" shapeId="0" xr:uid="{AD5EF6C3-2D74-410F-A2DE-13478DB99A89}">
      <text>
        <r>
          <rPr>
            <b/>
            <sz val="9"/>
            <color indexed="81"/>
            <rFont val="Tahoma"/>
            <family val="2"/>
          </rPr>
          <t>Informed Aug13, that will changed the project. No identified yet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4" authorId="1" shapeId="0" xr:uid="{6FB1279A-5690-497C-844F-961E63176B53}">
      <text>
        <r>
          <rPr>
            <b/>
            <sz val="9"/>
            <color indexed="81"/>
            <rFont val="Tahoma"/>
            <family val="2"/>
          </rPr>
          <t xml:space="preserve">268.38374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<sst xmlns="http://schemas.openxmlformats.org/spreadsheetml/2006/main" count="111" uniqueCount="75">
  <si>
    <t>1st Project</t>
  </si>
  <si>
    <t>2nd Project</t>
  </si>
  <si>
    <t>Financial Impact</t>
  </si>
  <si>
    <t>Quality Improved</t>
  </si>
  <si>
    <t>PROJECT OWNER</t>
  </si>
  <si>
    <t>1stProject Impact</t>
  </si>
  <si>
    <t>2ndProject Impact</t>
  </si>
  <si>
    <t>$Savings(K)/Year</t>
  </si>
  <si>
    <t>Limuel Manaig</t>
  </si>
  <si>
    <t>59B14_Capacity Improvement Implementation of Smart Probe</t>
  </si>
  <si>
    <t>Productivity/Capacity</t>
  </si>
  <si>
    <t>-</t>
  </si>
  <si>
    <t>Rely Remo</t>
  </si>
  <si>
    <t>Sigma3 Yield Improvement through Hardware, Test Program and Silicon Optimization</t>
  </si>
  <si>
    <t>Reduction of Sigma3 Dietemp First Pass Fall-outs from 2.5% to 0.5% by EoS 2022 W46</t>
  </si>
  <si>
    <t>Yield Improvement/Quality</t>
  </si>
  <si>
    <t>Bryan Palillo</t>
  </si>
  <si>
    <t>Dennis Desacola</t>
  </si>
  <si>
    <t>Reduction of Damaged Probe Cards Cost / Occurrence HD512</t>
  </si>
  <si>
    <t>MTBF Improvement of TEL Spare Parts</t>
  </si>
  <si>
    <t>Cost Savings</t>
  </si>
  <si>
    <t>Quality/Efficiency</t>
  </si>
  <si>
    <t>Utilization/Efficiency</t>
  </si>
  <si>
    <t>Edward Henry Dela Cruz</t>
  </si>
  <si>
    <t>Reduction of Loadboard re-order Cycle time</t>
  </si>
  <si>
    <t>Julius Robles</t>
  </si>
  <si>
    <t>Lead Backer Lifespan Improvement</t>
  </si>
  <si>
    <t>Handler Temp Cal Standardization</t>
  </si>
  <si>
    <t>Myla Baided</t>
  </si>
  <si>
    <t>Engineering Downtime Reduction</t>
  </si>
  <si>
    <t>Capacity Improvement on Probe Setup</t>
  </si>
  <si>
    <t>Quality</t>
  </si>
  <si>
    <t>High Opens Reduction for QFN 3x3 striptest</t>
  </si>
  <si>
    <t>Mark Insauriga</t>
  </si>
  <si>
    <t>DB30 - Delta Margin High Reduction for 58.85K Technology</t>
  </si>
  <si>
    <t>Reduction of Temp sensor related failures at probe</t>
  </si>
  <si>
    <t>Maria Theresa Ferrer</t>
  </si>
  <si>
    <t>Improve Scan Cycle time from 5.5days to 3days</t>
  </si>
  <si>
    <t>Burr defect project</t>
  </si>
  <si>
    <t>Productivity/Capacity/Quality</t>
  </si>
  <si>
    <t>Carlo Emmanuel Almazora</t>
  </si>
  <si>
    <t>Capacity/Utilization</t>
  </si>
  <si>
    <t>Rinor Baluyot</t>
  </si>
  <si>
    <t>Capacity Improvement by Test Hang-up Downtime Reduction</t>
  </si>
  <si>
    <t>MPHIL1</t>
  </si>
  <si>
    <t>Jhen Cruz</t>
  </si>
  <si>
    <t>Jerome Bando</t>
  </si>
  <si>
    <t>(2nd) Project Title (For Black Belt Certification)</t>
  </si>
  <si>
    <t>(1st) PROJECT TITLE (For GreenBelt Certification)</t>
  </si>
  <si>
    <t>Normie Quiminales</t>
  </si>
  <si>
    <t>Greenbelt Certified</t>
  </si>
  <si>
    <t>Blackbelt Certified</t>
  </si>
  <si>
    <t>CERTIFICATION ACHIEVED</t>
  </si>
  <si>
    <t>Count</t>
  </si>
  <si>
    <t>Sonny Gambala</t>
  </si>
  <si>
    <t>Darwin Burgos</t>
  </si>
  <si>
    <t>Resigned Employees or now in MPHIL-3</t>
  </si>
  <si>
    <t>Ma Socorro Uvero</t>
  </si>
  <si>
    <t>2 Projects</t>
  </si>
  <si>
    <t>Gospel Marino (MPHL-3)</t>
  </si>
  <si>
    <t>in Kusd</t>
  </si>
  <si>
    <t>in KUSD</t>
  </si>
  <si>
    <t>Janice Ruth Bayogan</t>
  </si>
  <si>
    <t>Department</t>
  </si>
  <si>
    <t>BU Product Engineering (WSG)</t>
  </si>
  <si>
    <t>Equipment Engineering</t>
  </si>
  <si>
    <t>Process Engineering - Probe</t>
  </si>
  <si>
    <t>Test Process Engineering - Striptest</t>
  </si>
  <si>
    <t>Process Engineering - Scan</t>
  </si>
  <si>
    <t>Test Product Engineering</t>
  </si>
  <si>
    <t>Yield Enhancement</t>
  </si>
  <si>
    <t>Test Systems Group</t>
  </si>
  <si>
    <t>Hardware Assembly</t>
  </si>
  <si>
    <t xml:space="preserve">$ 5.4Million </t>
  </si>
  <si>
    <t>Total (Resigned and 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</si>
</sst>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[$-409]d\-mmm\-yy;@"/>
    <numFmt numFmtId="165" formatCode="&quot;$&quot;#,##0.0_);[Red]\(&quot;$&quot;#,##0.0\)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/>
    </xf>
    <xf numFmtId="6" fontId="0" fillId="0" borderId="1" xfId="0" applyNumberFormat="1" applyBorder="1" applyAlignment="1">
      <alignment horizontal="center" vertical="top"/>
    </xf>
    <xf numFmtId="8" fontId="0" fillId="0" borderId="1" xfId="0" applyNumberForma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 wrapText="1"/>
    </xf>
    <xf numFmtId="0" fontId="7" fillId="0" borderId="0" xfId="0" applyFont="1"/>
    <xf numFmtId="0" fontId="4" fillId="0" borderId="1" xfId="0" applyFont="1" applyBorder="1" applyAlignment="1">
      <alignment vertical="top"/>
    </xf>
    <xf numFmtId="164" fontId="0" fillId="4" borderId="1" xfId="0" applyNumberFormat="1" applyFill="1" applyBorder="1" applyAlignment="1">
      <alignment horizontal="left" vertical="top" wrapText="1"/>
    </xf>
    <xf numFmtId="0" fontId="0" fillId="4" borderId="1" xfId="0" applyFill="1" applyBorder="1" applyAlignment="1">
      <alignment vertical="top"/>
    </xf>
    <xf numFmtId="164" fontId="0" fillId="4" borderId="1" xfId="0" quotePrefix="1" applyNumberFormat="1" applyFill="1" applyBorder="1" applyAlignment="1">
      <alignment horizontal="left" vertical="top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1" xfId="0" applyBorder="1"/>
    <xf numFmtId="0" fontId="0" fillId="4" borderId="0" xfId="0" applyFill="1" applyBorder="1" applyAlignment="1">
      <alignment vertical="top"/>
    </xf>
    <xf numFmtId="0" fontId="0" fillId="4" borderId="0" xfId="0" applyFill="1"/>
    <xf numFmtId="0" fontId="0" fillId="4" borderId="1" xfId="0" applyFill="1" applyBorder="1"/>
    <xf numFmtId="165" fontId="4" fillId="4" borderId="1" xfId="0" applyNumberFormat="1" applyFont="1" applyFill="1" applyBorder="1" applyAlignment="1">
      <alignment horizontal="center" vertical="top"/>
    </xf>
    <xf numFmtId="165" fontId="0" fillId="4" borderId="1" xfId="0" applyNumberFormat="1" applyFill="1" applyBorder="1" applyAlignment="1">
      <alignment horizontal="center" vertical="top"/>
    </xf>
    <xf numFmtId="165" fontId="0" fillId="0" borderId="1" xfId="0" applyNumberFormat="1" applyBorder="1" applyAlignment="1">
      <alignment horizontal="center"/>
    </xf>
    <xf numFmtId="0" fontId="8" fillId="3" borderId="1" xfId="0" applyFont="1" applyFill="1" applyBorder="1" applyAlignment="1">
      <alignment horizontal="left" vertical="top" wrapText="1"/>
    </xf>
    <xf numFmtId="165" fontId="8" fillId="3" borderId="1" xfId="0" applyNumberFormat="1" applyFont="1" applyFill="1" applyBorder="1" applyAlignment="1">
      <alignment horizontal="center" vertical="top"/>
    </xf>
    <xf numFmtId="0" fontId="8" fillId="3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" xfId="0" quotePrefix="1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top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95A0-E410-483F-9898-776CE5D2BB4E}">
  <dimension ref="B2:M28"/>
  <sheetViews>
    <sheetView tabSelected="1" zoomScale="89" zoomScaleNormal="89" workbookViewId="0"/>
  </sheetViews>
  <sheetFormatPr defaultRowHeight="14.75" x14ac:dyDescent="0.75"/>
  <cols>
    <col min="1" max="1" width="2.58984375" customWidth="1"/>
    <col min="2" max="2" width="4.90625" customWidth="1"/>
    <col min="3" max="3" width="25.6328125" customWidth="1"/>
    <col min="4" max="4" width="22.90625" customWidth="1"/>
    <col min="5" max="5" width="25.6328125" customWidth="1"/>
    <col min="6" max="6" width="43.08984375" customWidth="1"/>
    <col min="7" max="7" width="40.90625" customWidth="1"/>
    <col min="8" max="9" width="19.5" customWidth="1"/>
    <col min="10" max="13" width="16.6328125" customWidth="1"/>
  </cols>
  <sheetData>
    <row r="2" spans="2:13" x14ac:dyDescent="0.75">
      <c r="B2" s="1"/>
      <c r="C2" s="27" t="s">
        <v>44</v>
      </c>
      <c r="D2" s="27"/>
      <c r="E2" s="2"/>
      <c r="F2" s="2"/>
      <c r="G2" s="1"/>
      <c r="H2" s="2"/>
      <c r="I2" s="2"/>
      <c r="J2" s="4" t="s">
        <v>0</v>
      </c>
      <c r="K2" s="4" t="s">
        <v>1</v>
      </c>
      <c r="L2" s="5" t="s">
        <v>2</v>
      </c>
      <c r="M2" s="5" t="s">
        <v>3</v>
      </c>
    </row>
    <row r="3" spans="2:13" x14ac:dyDescent="0.75">
      <c r="B3" s="3"/>
      <c r="C3" s="6" t="s">
        <v>4</v>
      </c>
      <c r="D3" s="6" t="s">
        <v>63</v>
      </c>
      <c r="E3" s="6" t="s">
        <v>52</v>
      </c>
      <c r="F3" s="6" t="s">
        <v>48</v>
      </c>
      <c r="G3" s="4" t="s">
        <v>47</v>
      </c>
      <c r="H3" s="4" t="s">
        <v>5</v>
      </c>
      <c r="I3" s="4" t="s">
        <v>6</v>
      </c>
      <c r="J3" s="5" t="s">
        <v>7</v>
      </c>
      <c r="K3" s="5" t="s">
        <v>7</v>
      </c>
      <c r="L3" s="5" t="s">
        <v>7</v>
      </c>
      <c r="M3" s="16" t="s">
        <v>53</v>
      </c>
    </row>
    <row r="4" spans="2:13" ht="31" customHeight="1" x14ac:dyDescent="0.75">
      <c r="B4" s="3">
        <v>1</v>
      </c>
      <c r="C4" s="26" t="s">
        <v>12</v>
      </c>
      <c r="D4" s="39" t="s">
        <v>64</v>
      </c>
      <c r="E4" s="26" t="s">
        <v>51</v>
      </c>
      <c r="F4" s="22" t="s">
        <v>13</v>
      </c>
      <c r="G4" s="22" t="s">
        <v>14</v>
      </c>
      <c r="H4" s="9" t="s">
        <v>10</v>
      </c>
      <c r="I4" s="9" t="s">
        <v>15</v>
      </c>
      <c r="J4" s="10">
        <f>1100</f>
        <v>1100</v>
      </c>
      <c r="K4" s="10">
        <f>101341.5/2000</f>
        <v>50.670749999999998</v>
      </c>
      <c r="L4" s="10">
        <f t="shared" ref="L4:L17" si="0">J4+K4</f>
        <v>1150.67075</v>
      </c>
      <c r="M4" s="41">
        <v>1</v>
      </c>
    </row>
    <row r="5" spans="2:13" ht="31" customHeight="1" x14ac:dyDescent="0.75">
      <c r="B5" s="3">
        <v>2</v>
      </c>
      <c r="C5" s="26" t="s">
        <v>17</v>
      </c>
      <c r="D5" s="39" t="s">
        <v>65</v>
      </c>
      <c r="E5" s="26" t="s">
        <v>51</v>
      </c>
      <c r="F5" s="22" t="s">
        <v>18</v>
      </c>
      <c r="G5" s="22" t="s">
        <v>19</v>
      </c>
      <c r="H5" s="9" t="s">
        <v>20</v>
      </c>
      <c r="I5" s="9" t="s">
        <v>21</v>
      </c>
      <c r="J5" s="10">
        <v>100</v>
      </c>
      <c r="K5" s="10">
        <f>149624/1000</f>
        <v>149.624</v>
      </c>
      <c r="L5" s="10">
        <f t="shared" si="0"/>
        <v>249.624</v>
      </c>
      <c r="M5" s="42"/>
    </row>
    <row r="6" spans="2:13" ht="31" customHeight="1" x14ac:dyDescent="0.75">
      <c r="B6" s="3">
        <v>3</v>
      </c>
      <c r="C6" s="26" t="s">
        <v>25</v>
      </c>
      <c r="D6" s="39" t="s">
        <v>65</v>
      </c>
      <c r="E6" s="26" t="s">
        <v>51</v>
      </c>
      <c r="F6" s="23" t="s">
        <v>26</v>
      </c>
      <c r="G6" s="22" t="s">
        <v>27</v>
      </c>
      <c r="H6" s="9" t="s">
        <v>22</v>
      </c>
      <c r="I6" s="9" t="s">
        <v>21</v>
      </c>
      <c r="J6" s="12">
        <v>240</v>
      </c>
      <c r="K6" s="13">
        <v>178.035</v>
      </c>
      <c r="L6" s="10">
        <f t="shared" si="0"/>
        <v>418.03499999999997</v>
      </c>
      <c r="M6" s="42"/>
    </row>
    <row r="7" spans="2:13" ht="31" customHeight="1" x14ac:dyDescent="0.75">
      <c r="B7" s="3">
        <v>4</v>
      </c>
      <c r="C7" s="26" t="s">
        <v>28</v>
      </c>
      <c r="D7" s="39" t="s">
        <v>66</v>
      </c>
      <c r="E7" s="26" t="s">
        <v>51</v>
      </c>
      <c r="F7" s="22" t="s">
        <v>29</v>
      </c>
      <c r="G7" s="22" t="s">
        <v>30</v>
      </c>
      <c r="H7" s="9" t="s">
        <v>22</v>
      </c>
      <c r="I7" s="9" t="s">
        <v>10</v>
      </c>
      <c r="J7" s="10">
        <v>519.45848999999998</v>
      </c>
      <c r="K7" s="10">
        <f>(900480.93/1000)</f>
        <v>900.48093000000006</v>
      </c>
      <c r="L7" s="10">
        <f t="shared" si="0"/>
        <v>1419.9394200000002</v>
      </c>
      <c r="M7" s="42"/>
    </row>
    <row r="8" spans="2:13" ht="31" customHeight="1" x14ac:dyDescent="0.75">
      <c r="B8" s="3">
        <v>5</v>
      </c>
      <c r="C8" s="26" t="s">
        <v>33</v>
      </c>
      <c r="D8" s="39" t="s">
        <v>67</v>
      </c>
      <c r="E8" s="26" t="s">
        <v>51</v>
      </c>
      <c r="F8" s="22" t="s">
        <v>34</v>
      </c>
      <c r="G8" s="22" t="s">
        <v>35</v>
      </c>
      <c r="H8" s="9" t="s">
        <v>31</v>
      </c>
      <c r="I8" s="9" t="s">
        <v>15</v>
      </c>
      <c r="J8" s="10">
        <v>251</v>
      </c>
      <c r="K8" s="10">
        <f>945441.5/2000</f>
        <v>472.72075000000001</v>
      </c>
      <c r="L8" s="10">
        <f t="shared" si="0"/>
        <v>723.72074999999995</v>
      </c>
      <c r="M8" s="41">
        <v>2</v>
      </c>
    </row>
    <row r="9" spans="2:13" ht="31" customHeight="1" x14ac:dyDescent="0.75">
      <c r="B9" s="3">
        <v>6</v>
      </c>
      <c r="C9" s="26" t="s">
        <v>36</v>
      </c>
      <c r="D9" s="39" t="s">
        <v>68</v>
      </c>
      <c r="E9" s="26" t="s">
        <v>51</v>
      </c>
      <c r="F9" s="22" t="s">
        <v>37</v>
      </c>
      <c r="G9" s="22" t="s">
        <v>38</v>
      </c>
      <c r="H9" s="8" t="s">
        <v>39</v>
      </c>
      <c r="I9" s="9"/>
      <c r="J9" s="10">
        <v>98</v>
      </c>
      <c r="K9" s="10">
        <f>238107/2000</f>
        <v>119.0535</v>
      </c>
      <c r="L9" s="10">
        <f t="shared" si="0"/>
        <v>217.05349999999999</v>
      </c>
      <c r="M9" s="41">
        <v>1</v>
      </c>
    </row>
    <row r="10" spans="2:13" ht="31" customHeight="1" x14ac:dyDescent="0.75">
      <c r="B10" s="3">
        <v>7</v>
      </c>
      <c r="C10" s="7" t="s">
        <v>8</v>
      </c>
      <c r="D10" s="40" t="s">
        <v>69</v>
      </c>
      <c r="E10" s="7" t="s">
        <v>50</v>
      </c>
      <c r="F10" s="22" t="s">
        <v>9</v>
      </c>
      <c r="G10" s="24"/>
      <c r="H10" s="9" t="s">
        <v>10</v>
      </c>
      <c r="I10" s="9"/>
      <c r="J10" s="10">
        <v>16.72964</v>
      </c>
      <c r="K10" s="11"/>
      <c r="L10" s="10">
        <f>J10+K10</f>
        <v>16.72964</v>
      </c>
      <c r="M10" s="42"/>
    </row>
    <row r="11" spans="2:13" ht="31" customHeight="1" x14ac:dyDescent="0.75">
      <c r="B11" s="3">
        <v>8</v>
      </c>
      <c r="C11" s="7" t="s">
        <v>45</v>
      </c>
      <c r="D11" s="40" t="s">
        <v>70</v>
      </c>
      <c r="E11" s="7" t="s">
        <v>50</v>
      </c>
      <c r="F11" s="22" t="s">
        <v>35</v>
      </c>
      <c r="G11" s="22"/>
      <c r="H11" s="9" t="s">
        <v>15</v>
      </c>
      <c r="I11" s="9"/>
      <c r="J11" s="14">
        <v>472.72075000000001</v>
      </c>
      <c r="K11" s="21"/>
      <c r="L11" s="10">
        <f t="shared" si="0"/>
        <v>472.72075000000001</v>
      </c>
      <c r="M11" s="41">
        <v>1</v>
      </c>
    </row>
    <row r="12" spans="2:13" ht="31" customHeight="1" x14ac:dyDescent="0.75">
      <c r="B12" s="3">
        <v>9</v>
      </c>
      <c r="C12" s="7" t="s">
        <v>46</v>
      </c>
      <c r="D12" s="40" t="s">
        <v>67</v>
      </c>
      <c r="E12" s="7" t="s">
        <v>50</v>
      </c>
      <c r="F12" s="22" t="s">
        <v>38</v>
      </c>
      <c r="G12" s="22"/>
      <c r="H12" s="8" t="s">
        <v>39</v>
      </c>
      <c r="I12" s="9"/>
      <c r="J12" s="14">
        <v>119.0535</v>
      </c>
      <c r="K12" s="14"/>
      <c r="L12" s="10">
        <f>J12+K12</f>
        <v>119.0535</v>
      </c>
      <c r="M12" s="41">
        <v>1</v>
      </c>
    </row>
    <row r="13" spans="2:13" ht="31" customHeight="1" x14ac:dyDescent="0.75">
      <c r="B13" s="3">
        <v>10</v>
      </c>
      <c r="C13" s="7" t="s">
        <v>40</v>
      </c>
      <c r="D13" s="40" t="s">
        <v>67</v>
      </c>
      <c r="E13" s="7" t="s">
        <v>50</v>
      </c>
      <c r="F13" s="22" t="s">
        <v>32</v>
      </c>
      <c r="G13" s="22"/>
      <c r="H13" s="8" t="s">
        <v>41</v>
      </c>
      <c r="I13" s="9"/>
      <c r="J13" s="14">
        <v>198.29441</v>
      </c>
      <c r="K13" s="14"/>
      <c r="L13" s="10">
        <f t="shared" si="0"/>
        <v>198.29441</v>
      </c>
      <c r="M13" s="42"/>
    </row>
    <row r="14" spans="2:13" ht="31" customHeight="1" x14ac:dyDescent="0.75">
      <c r="B14" s="3">
        <v>11</v>
      </c>
      <c r="C14" s="7" t="s">
        <v>42</v>
      </c>
      <c r="D14" s="40" t="s">
        <v>71</v>
      </c>
      <c r="E14" s="7" t="s">
        <v>50</v>
      </c>
      <c r="F14" s="22" t="s">
        <v>32</v>
      </c>
      <c r="G14" s="22"/>
      <c r="H14" s="8" t="s">
        <v>41</v>
      </c>
      <c r="I14" s="9"/>
      <c r="J14" s="14">
        <v>198.29441</v>
      </c>
      <c r="K14" s="14"/>
      <c r="L14" s="10">
        <f t="shared" si="0"/>
        <v>198.29441</v>
      </c>
      <c r="M14" s="42"/>
    </row>
    <row r="15" spans="2:13" ht="31" customHeight="1" x14ac:dyDescent="0.75">
      <c r="B15" s="3">
        <v>12</v>
      </c>
      <c r="C15" s="7" t="s">
        <v>23</v>
      </c>
      <c r="D15" s="40" t="s">
        <v>72</v>
      </c>
      <c r="E15" s="7" t="s">
        <v>50</v>
      </c>
      <c r="F15" s="25" t="s">
        <v>24</v>
      </c>
      <c r="G15" s="24" t="s">
        <v>11</v>
      </c>
      <c r="H15" s="9" t="s">
        <v>10</v>
      </c>
      <c r="I15" s="9"/>
      <c r="J15" s="12">
        <v>158.16900999999999</v>
      </c>
      <c r="K15" s="11"/>
      <c r="L15" s="10">
        <f>J15+K15</f>
        <v>158.16900999999999</v>
      </c>
      <c r="M15" s="42"/>
    </row>
    <row r="16" spans="2:13" ht="31" customHeight="1" x14ac:dyDescent="0.75">
      <c r="B16" s="3">
        <v>13</v>
      </c>
      <c r="C16" s="7" t="s">
        <v>49</v>
      </c>
      <c r="D16" s="40" t="s">
        <v>66</v>
      </c>
      <c r="E16" s="7" t="s">
        <v>50</v>
      </c>
      <c r="F16" s="22" t="s">
        <v>43</v>
      </c>
      <c r="G16" s="22"/>
      <c r="H16" s="8" t="s">
        <v>41</v>
      </c>
      <c r="I16" s="9"/>
      <c r="J16" s="14">
        <f>153728.6/2000</f>
        <v>76.8643</v>
      </c>
      <c r="K16" s="15"/>
      <c r="L16" s="10">
        <f t="shared" ref="L16" si="1">J16+K16</f>
        <v>76.8643</v>
      </c>
      <c r="M16" s="42"/>
    </row>
    <row r="17" spans="2:13" ht="31" customHeight="1" x14ac:dyDescent="0.75">
      <c r="B17" s="3">
        <v>14</v>
      </c>
      <c r="C17" s="7" t="s">
        <v>62</v>
      </c>
      <c r="D17" s="40" t="s">
        <v>64</v>
      </c>
      <c r="E17" s="7" t="s">
        <v>50</v>
      </c>
      <c r="F17" s="22" t="s">
        <v>14</v>
      </c>
      <c r="G17" s="22"/>
      <c r="H17" s="8" t="s">
        <v>15</v>
      </c>
      <c r="I17" s="9"/>
      <c r="J17" s="14">
        <v>50.670749999999998</v>
      </c>
      <c r="K17" s="15"/>
      <c r="L17" s="10">
        <f t="shared" si="0"/>
        <v>50.670749999999998</v>
      </c>
      <c r="M17" s="41">
        <v>1</v>
      </c>
    </row>
    <row r="18" spans="2:13" s="20" customFormat="1" ht="16" x14ac:dyDescent="0.8">
      <c r="B18" s="17"/>
      <c r="C18" s="18"/>
      <c r="D18" s="18"/>
      <c r="E18" s="18"/>
      <c r="F18" s="19"/>
      <c r="G18" s="19"/>
      <c r="H18" s="19"/>
      <c r="I18" s="35" t="s">
        <v>44</v>
      </c>
      <c r="J18" s="36">
        <f>SUM(J4:J17)</f>
        <v>3599.2552599999999</v>
      </c>
      <c r="K18" s="36">
        <f t="shared" ref="K18:L18" si="2">SUM(K4:K17)</f>
        <v>1870.58493</v>
      </c>
      <c r="L18" s="36">
        <f t="shared" si="2"/>
        <v>5469.8401900000008</v>
      </c>
      <c r="M18" s="37">
        <v>7</v>
      </c>
    </row>
    <row r="19" spans="2:13" x14ac:dyDescent="0.75">
      <c r="L19" s="38" t="s">
        <v>61</v>
      </c>
    </row>
    <row r="20" spans="2:13" x14ac:dyDescent="0.75">
      <c r="C20" s="29" t="s">
        <v>56</v>
      </c>
      <c r="D20" s="29"/>
      <c r="E20" s="30"/>
      <c r="L20" s="38" t="s">
        <v>73</v>
      </c>
    </row>
    <row r="21" spans="2:13" x14ac:dyDescent="0.75">
      <c r="C21" s="31" t="s">
        <v>54</v>
      </c>
      <c r="D21" s="31"/>
      <c r="E21" s="32">
        <f>153728.6/2000</f>
        <v>76.8643</v>
      </c>
    </row>
    <row r="22" spans="2:13" x14ac:dyDescent="0.75">
      <c r="C22" s="31" t="s">
        <v>59</v>
      </c>
      <c r="D22" s="31"/>
      <c r="E22" s="32">
        <f>198.29441+362</f>
        <v>560.29440999999997</v>
      </c>
      <c r="F22" t="s">
        <v>58</v>
      </c>
    </row>
    <row r="23" spans="2:13" x14ac:dyDescent="0.75">
      <c r="C23" s="23" t="s">
        <v>55</v>
      </c>
      <c r="D23" s="23"/>
      <c r="E23" s="33">
        <v>62.1</v>
      </c>
    </row>
    <row r="24" spans="2:13" x14ac:dyDescent="0.75">
      <c r="C24" s="23" t="s">
        <v>16</v>
      </c>
      <c r="D24" s="23"/>
      <c r="E24" s="33">
        <v>268.38373999999999</v>
      </c>
    </row>
    <row r="25" spans="2:13" x14ac:dyDescent="0.75">
      <c r="C25" s="31" t="s">
        <v>57</v>
      </c>
      <c r="D25" s="31"/>
      <c r="E25" s="33">
        <v>897.27199999999993</v>
      </c>
    </row>
    <row r="26" spans="2:13" x14ac:dyDescent="0.75">
      <c r="E26" s="34">
        <f>SUM(E21:E25)</f>
        <v>1864.9144499999998</v>
      </c>
      <c r="F26" t="s">
        <v>60</v>
      </c>
    </row>
    <row r="28" spans="2:13" x14ac:dyDescent="0.75">
      <c r="D28" t="s">
        <v>74</v>
      </c>
      <c r="E28" s="43">
        <f>E26+L18</f>
        <v>7334.754640000001</v>
      </c>
      <c r="F28" s="28" t="s">
        <v>60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Made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Cruz - A67331</dc:creator>
  <cp:lastModifiedBy>Donald Cruz - A67331</cp:lastModifiedBy>
  <dcterms:created xsi:type="dcterms:W3CDTF">2026-10-15T06:45:18Z</dcterms:created>
  <dcterms:modified xsi:type="dcterms:W3CDTF">2026-10-15T07:15:55Z</dcterms:modified>
</cp:coreProperties>
</file>