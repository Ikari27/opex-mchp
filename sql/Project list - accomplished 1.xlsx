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My Depot\2025\00_Operational Excellence\Projects\"/>
    </mc:Choice>
  </mc:AlternateContent>
  <xr:revisionPtr revIDLastSave="0" documentId="13_ncr:1_{7F0DDD93-31A9-4D5D-B5A3-40DAB85C59BE}" xr6:coauthVersionLast="47" xr6:coauthVersionMax="47" xr10:uidLastSave="{00000000-0000-0000-0000-000000000000}"/>
  <bookViews>
    <workbookView xWindow="-90" yWindow="-90" windowWidth="19380" windowHeight="11460" activeTab="1" xr2:uid="{46CE8ADC-A946-4328-B798-38AF46AAC345}"/>
  </bookViews>
  <sheets>
    <sheet name="Summary of Projects" sheetId="3" r:id="rId1"/>
    <sheet name="List of Practitioners" sheetId="1" r:id="rId2"/>
    <sheet name="KRA list" sheetId="2" state="hidden" r:id="rId3"/>
  </sheets>
  <definedNames>
    <definedName name="_xlnm._FilterDatabase" localSheetId="1" hidden="1">'List of Practitioners'!$B$2:$K$41</definedName>
    <definedName name="_xlnm.Print_Area" localSheetId="1">'List of Practitioners'!$B$2:$K$41</definedName>
  </definedNames>
  <calcPr calcId="191029"/>
  <pivotCaches>
    <pivotCache cacheId="1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4" i="1" l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3" i="1"/>
  <c r="K44" i="1"/>
  <c r="K43" i="1"/>
  <c r="K45" i="1" l="1"/>
  <c r="K46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tc={84EB0406-1B56-4E30-93A6-40843CAC6B6F}</author>
    <author>tc={7860FD22-E325-43C5-8C65-4F5A79DFE417}</author>
    <author>tc={09612C04-694C-4FBC-B3CA-BF8A369F2823}</author>
    <author>tc={8C92E94C-C534-4654-9280-A3D24894991D}</author>
  </authors>
  <commentList>
    <comment ref="K9" authorId="0" shapeId="0" xr:uid="{84EB0406-1B56-4E30-93A6-40843CAC6B6F}">
      <text>
        <t>[Threaded comment]
Your version of Excel allows you to read this threaded comment; however, any edits to it will get removed if the file is opened in a newer version of Excel. Learn more: https://go.microsoft.com/fwlink/?linkid=870924
Comment:
    Resigned</t>
      </text>
    </comment>
    <comment ref="I19" authorId="1" shapeId="0" xr:uid="{7860FD22-E325-43C5-8C65-4F5A79DFE417}">
      <text>
        <t>[Threaded comment]
Your version of Excel allows you to read this threaded comment; however, any edits to it will get removed if the file is opened in a newer version of Excel. Learn more: https://go.microsoft.com/fwlink/?linkid=870924
Comment:
    Maintenance and Equipment Engineering KRA</t>
      </text>
    </comment>
    <comment ref="I20" authorId="2" shapeId="0" xr:uid="{09612C04-694C-4FBC-B3CA-BF8A369F2823}">
      <text>
        <t>[Threaded comment]
Your version of Excel allows you to read this threaded comment; however, any edits to it will get removed if the file is opened in a newer version of Excel. Learn more: https://go.microsoft.com/fwlink/?linkid=870924
Comment:
    Maintenance and Equipment Engineering KRA</t>
      </text>
    </comment>
    <comment ref="H30" authorId="3" shapeId="0" xr:uid="{8C92E94C-C534-4654-9280-A3D24894991D}">
      <text>
        <t>[Threaded comment]
Your version of Excel allows you to read this threaded comment; however, any edits to it will get removed if the file is opened in a newer version of Excel. Learn more: https://go.microsoft.com/fwlink/?linkid=870924
Comment:
    Is this  fan-out?</t>
      </text>
    </comment>
  </commentList>
</comments>
</file>

<file path=xl/sharedStrings.xml><?xml version="1.0" encoding="utf-8"?>
<sst xmlns="http://schemas.openxmlformats.org/spreadsheetml/2006/main" count="468" uniqueCount="183">
  <si>
    <t>Count</t>
  </si>
  <si>
    <t>Name</t>
  </si>
  <si>
    <t>Belt</t>
  </si>
  <si>
    <t>Area</t>
  </si>
  <si>
    <t>Immediate Superior</t>
  </si>
  <si>
    <t>Project Proposal</t>
  </si>
  <si>
    <t>Primary Metric</t>
  </si>
  <si>
    <t>KRA Linkage</t>
  </si>
  <si>
    <t>Limuel Manaig</t>
  </si>
  <si>
    <t>Green Belt</t>
  </si>
  <si>
    <t>Test Product Engineering</t>
  </si>
  <si>
    <t>Lhen Leslie Cometa</t>
  </si>
  <si>
    <t>Present</t>
  </si>
  <si>
    <t>Janice Ruth Bayogan</t>
  </si>
  <si>
    <t>BU Product Engineering (WSG)</t>
  </si>
  <si>
    <t>Adrian Caramol</t>
  </si>
  <si>
    <t>Absent</t>
  </si>
  <si>
    <t>Jhen Cruz</t>
  </si>
  <si>
    <t>Yield Enhancement</t>
  </si>
  <si>
    <t>Flor Abayan</t>
  </si>
  <si>
    <t>Edward Henry Dela Cruz</t>
  </si>
  <si>
    <t>Hardware Assembly</t>
  </si>
  <si>
    <t>Josie Selda</t>
  </si>
  <si>
    <t>Jerome Bando</t>
  </si>
  <si>
    <t>Test Process Engineering - Striptest</t>
  </si>
  <si>
    <t>Reina Abrilla</t>
  </si>
  <si>
    <t>Normie Quiminales</t>
  </si>
  <si>
    <t>Process Engineering - Probe</t>
  </si>
  <si>
    <t>Vilma Dacanay</t>
  </si>
  <si>
    <t>Sonny Gambala</t>
  </si>
  <si>
    <t>Resigned</t>
  </si>
  <si>
    <t>Carlo Emmanuel Almazora</t>
  </si>
  <si>
    <t>Rinor Baluyot</t>
  </si>
  <si>
    <t>Test Systems Group</t>
  </si>
  <si>
    <t>Murriel Natiola</t>
  </si>
  <si>
    <t>Rely Remo</t>
  </si>
  <si>
    <t>Black Belt</t>
  </si>
  <si>
    <t>Mark Insauriga</t>
  </si>
  <si>
    <t>Julius Robles</t>
  </si>
  <si>
    <t>Equipment Engineering</t>
  </si>
  <si>
    <t>Dennis Desacola</t>
  </si>
  <si>
    <t>Maria Theresa Ferrer</t>
  </si>
  <si>
    <t>Process Engineering - Scan</t>
  </si>
  <si>
    <t>Donald Cruz</t>
  </si>
  <si>
    <t>Myla Baided</t>
  </si>
  <si>
    <t>Marcel Kranz</t>
  </si>
  <si>
    <t>GB Coach</t>
  </si>
  <si>
    <t>SJ Peng</t>
  </si>
  <si>
    <t>Cristy Caringal</t>
  </si>
  <si>
    <t>GB Candidate</t>
  </si>
  <si>
    <t>Test Hardware Engineering</t>
  </si>
  <si>
    <t>Jeric Pantig</t>
  </si>
  <si>
    <t>Pogo Pin expenses &lt; $3,000 per Million IC output</t>
  </si>
  <si>
    <t>Singulated Costs / hr ( ≤ target)</t>
  </si>
  <si>
    <t>Glenmore Gabuay</t>
  </si>
  <si>
    <t>Process Engineering - FT Singulated</t>
  </si>
  <si>
    <t>Joel Torio</t>
  </si>
  <si>
    <t>Patrick Serafica</t>
  </si>
  <si>
    <t>Roland Barrientos</t>
  </si>
  <si>
    <t>Julio Robles</t>
  </si>
  <si>
    <t>Adriano Ancheta</t>
  </si>
  <si>
    <t>Kristine Lumapas</t>
  </si>
  <si>
    <t>WAFER PROBE- Probecard Life Efficiency Improvement</t>
  </si>
  <si>
    <t>Probe Pin lifetime improvement</t>
  </si>
  <si>
    <t>Probe Costs / hr ( ≤ target)</t>
  </si>
  <si>
    <t>Angie-lyn Lawigan</t>
  </si>
  <si>
    <t>Wafer Probe Equipment Engineering</t>
  </si>
  <si>
    <t>Leandro Maneja</t>
  </si>
  <si>
    <t>Marife Cura Borgonos</t>
  </si>
  <si>
    <t>Manilyn Lagumen</t>
  </si>
  <si>
    <t>Criztel Bulatao</t>
  </si>
  <si>
    <t>Laline Mamplata</t>
  </si>
  <si>
    <t>IS-Business Process Automation</t>
  </si>
  <si>
    <t>Natthamon Khamroon</t>
  </si>
  <si>
    <t>Alvin Cabrera</t>
  </si>
  <si>
    <t>Michelle Porte</t>
  </si>
  <si>
    <t>Peter Paul Prado</t>
  </si>
  <si>
    <t>Aries Barbaza / Dennis Desacola</t>
  </si>
  <si>
    <t>Christopher De Chavez</t>
  </si>
  <si>
    <t>Jan Felix Cortel</t>
  </si>
  <si>
    <t>Marlon Aquino</t>
  </si>
  <si>
    <t>Jackielyn Gajes</t>
  </si>
  <si>
    <t>Quality Engineering</t>
  </si>
  <si>
    <t>Bobby Tovera</t>
  </si>
  <si>
    <t>Janice Bagsit</t>
  </si>
  <si>
    <t>Joel Villanueva</t>
  </si>
  <si>
    <t>Uldarico Delos Santos</t>
  </si>
  <si>
    <t>Archie Mendoza</t>
  </si>
  <si>
    <t>662A5 DFLL Reject Reduction</t>
  </si>
  <si>
    <t>662A5 First pass yield</t>
  </si>
  <si>
    <t>HPMCU FT Yield</t>
  </si>
  <si>
    <t>Ronie Tapeno</t>
  </si>
  <si>
    <t>Percival Napao</t>
  </si>
  <si>
    <t>Vincent Amos Cabanay</t>
  </si>
  <si>
    <t>BU Product Engineering</t>
  </si>
  <si>
    <t>Bernadette Calatin / Romeo Dela Rosa</t>
  </si>
  <si>
    <t>Renz Renan Caguimbal</t>
  </si>
  <si>
    <t>Jaymar Asuncion / Romeo Dela Rosa</t>
  </si>
  <si>
    <t>Total</t>
  </si>
  <si>
    <t>Attendance Rate</t>
  </si>
  <si>
    <t>Key Results Area</t>
  </si>
  <si>
    <t>Customer Complaints for Quality / Delivery (≥ Mu / issue)</t>
  </si>
  <si>
    <t>3D Cycle Time</t>
  </si>
  <si>
    <t>8D Cycle Time</t>
  </si>
  <si>
    <t>QA Test Monitor (≤ PPM)</t>
  </si>
  <si>
    <t>FOI (≤ PPM)</t>
  </si>
  <si>
    <t>Shipping Customer Complaints (≥ Mu / issue)</t>
  </si>
  <si>
    <t>QC Sampling (≤ PPM)</t>
  </si>
  <si>
    <t>QC 100% (≤ PPM)</t>
  </si>
  <si>
    <t>QC 100% (LRR)</t>
  </si>
  <si>
    <t>Probe Vis/Mech Yield</t>
  </si>
  <si>
    <t>Strip Visual/Mech Yield</t>
  </si>
  <si>
    <t>Open/Short Yield ATO / STO</t>
  </si>
  <si>
    <t>MPD / CPLS FT Yield</t>
  </si>
  <si>
    <t>APID FT Yield</t>
  </si>
  <si>
    <t>NCS FT Yield</t>
  </si>
  <si>
    <t>ELMCU FT Yield</t>
  </si>
  <si>
    <t>MPU32 FT Yield</t>
  </si>
  <si>
    <t>HMID FT Yield</t>
  </si>
  <si>
    <t>WSG FT Yield</t>
  </si>
  <si>
    <t>Scan Yield</t>
  </si>
  <si>
    <t>Meet BP Moves to FGS ( &gt; Mu)</t>
  </si>
  <si>
    <t>OCD Delivery Performance</t>
  </si>
  <si>
    <t xml:space="preserve">Scan OPOD </t>
  </si>
  <si>
    <t>95%ile Cycle Time Days (AI to FG)</t>
  </si>
  <si>
    <t>Probe Utilization (hrs/day)</t>
  </si>
  <si>
    <t>Probe SCP OTD</t>
  </si>
  <si>
    <t>M1-SSV Strip Utilization</t>
  </si>
  <si>
    <t>D2x Strip Utilization</t>
  </si>
  <si>
    <t>Fusion-MX Singulated Utilization</t>
  </si>
  <si>
    <t>V93K Singulated Utilization</t>
  </si>
  <si>
    <t>ATO Legacy Tester Utilization</t>
  </si>
  <si>
    <t>STO Downtime Losses: Retest / Site Loss</t>
  </si>
  <si>
    <t>STO Downtime Losses: QC LRR / QC Rescreen</t>
  </si>
  <si>
    <t>ATO Downtime Losses: Retest / Site Loss</t>
  </si>
  <si>
    <t>ATO Downtime Losses: QC LRR / QC Rescreen</t>
  </si>
  <si>
    <t>Calendar days to Complete FA Report for Customer/Internal/QA-QC-FT Fail</t>
  </si>
  <si>
    <t>Flex Cell-% of Rel Lots Returned in 48 hours</t>
  </si>
  <si>
    <t xml:space="preserve">MTBA Rasco </t>
  </si>
  <si>
    <t>MTBA Hontech / Epson / MT9510</t>
  </si>
  <si>
    <t>Facilities Downtime (incident/qtr)</t>
  </si>
  <si>
    <r>
      <t>Probe Costs / hr ( ≤</t>
    </r>
    <r>
      <rPr>
        <sz val="9.9"/>
        <rFont val="Calibri"/>
        <family val="2"/>
      </rPr>
      <t xml:space="preserve"> target)</t>
    </r>
  </si>
  <si>
    <t>Strip Costs / hr ( ≤ target)</t>
  </si>
  <si>
    <t>Probe loaded utilization</t>
  </si>
  <si>
    <t>FT loaded utilization</t>
  </si>
  <si>
    <t>Strip Test  loaded utilization</t>
  </si>
  <si>
    <t>Probe Productivity per DL (Ku / DL-hr)</t>
  </si>
  <si>
    <t>FT Productivity per DL (Ku / DL-hr)</t>
  </si>
  <si>
    <t>Strip Test Productivity per DL (Ku / DL-hr)</t>
  </si>
  <si>
    <t>Probe Productivity Space (Ku / sq-m)</t>
  </si>
  <si>
    <t>FT Productivity Space (Ku / sq-m)</t>
  </si>
  <si>
    <t>Strip Test Productivity Space (Ku / sq-m)</t>
  </si>
  <si>
    <t>Optimize Saw Singulate Blade Life to Reduce Blade Consumption</t>
  </si>
  <si>
    <t>Blade Consumption Rate (blades/1M IC units)</t>
  </si>
  <si>
    <t xml:space="preserve">Reduction of Final Outgoing Inspection (FOI) Lot Rejection Rate </t>
  </si>
  <si>
    <t>FOI (%LRR)</t>
  </si>
  <si>
    <t>ATO Site Utilization Improvement</t>
  </si>
  <si>
    <t>% Site Utilization</t>
  </si>
  <si>
    <t>STO Site Utilization Improvement</t>
  </si>
  <si>
    <t>Reduction of broken package issue at FT Singulated</t>
  </si>
  <si>
    <t>Broken package PNR cases</t>
  </si>
  <si>
    <t>Test Induced Opens Fails reduction at StripTest</t>
  </si>
  <si>
    <t>Crash Card Reduction at Probe Test</t>
  </si>
  <si>
    <t>Crash Card Occurrence</t>
  </si>
  <si>
    <t>Improvement of Setup fails at Probe</t>
  </si>
  <si>
    <t>Utilization, Retest Rate</t>
  </si>
  <si>
    <t>Sigma-X Striptest Utilization Improvement</t>
  </si>
  <si>
    <t>Setup Fail LRR</t>
  </si>
  <si>
    <t>Sigma-X V93K Striptest Overall utilization</t>
  </si>
  <si>
    <t>To be assigned to a Facilities Project</t>
  </si>
  <si>
    <t>Grand Total</t>
  </si>
  <si>
    <t>Improvement of Cost related to High Pogo Pin consumption</t>
  </si>
  <si>
    <t>GB COACH</t>
  </si>
  <si>
    <t>Number</t>
  </si>
  <si>
    <t>Sum of Count</t>
  </si>
  <si>
    <t>Strip Test Loaded Utilization Enhancement Through Setup Conversion Downtime Reduction</t>
  </si>
  <si>
    <t>Utilization Target of &gt;85%</t>
  </si>
  <si>
    <t>To be assisted by Ric Malong</t>
  </si>
  <si>
    <t>Chronic issue (since FT Sing and until now at Strip)</t>
  </si>
  <si>
    <t>Quality issue</t>
  </si>
  <si>
    <t>Tackle Sigma-X contributors to low utilization (not just yield)</t>
  </si>
  <si>
    <t>Decided as solo</t>
  </si>
  <si>
    <t>Awaiting feedback from Robinie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</si>
</sst>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Calibri"/>
      <family val="2"/>
    </font>
    <font>
      <sz val="9.9"/>
      <name val="Calibri"/>
      <family val="2"/>
    </font>
    <font>
      <sz val="11"/>
      <color rgb="FFFF000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7" tint="0.79998168889431442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FF0000"/>
      </left>
      <right style="thin">
        <color indexed="64"/>
      </right>
      <top style="medium">
        <color rgb="FFFF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FF0000"/>
      </top>
      <bottom style="thin">
        <color indexed="64"/>
      </bottom>
      <diagonal/>
    </border>
    <border>
      <left/>
      <right style="medium">
        <color rgb="FFFF0000"/>
      </right>
      <top style="medium">
        <color rgb="FFFF0000"/>
      </top>
      <bottom style="thin">
        <color indexed="64"/>
      </bottom>
      <diagonal/>
    </border>
    <border>
      <left style="medium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FF0000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thin">
        <color indexed="64"/>
      </right>
      <top style="thin">
        <color indexed="64"/>
      </top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FF0000"/>
      </bottom>
      <diagonal/>
    </border>
    <border>
      <left/>
      <right style="medium">
        <color rgb="FFFF0000"/>
      </right>
      <top style="thin">
        <color indexed="64"/>
      </top>
      <bottom style="medium">
        <color rgb="FFFF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3" tint="0.499984740745262"/>
      </left>
      <right style="thin">
        <color theme="3" tint="0.499984740745262"/>
      </right>
      <top style="thin">
        <color theme="3" tint="0.499984740745262"/>
      </top>
      <bottom style="thin">
        <color theme="3" tint="0.499984740745262"/>
      </bottom>
      <diagonal/>
    </border>
    <border>
      <left/>
      <right style="thin">
        <color theme="3" tint="0.499984740745262"/>
      </right>
      <top style="thin">
        <color theme="3" tint="0.499984740745262"/>
      </top>
      <bottom/>
      <diagonal/>
    </border>
    <border>
      <left/>
      <right style="thin">
        <color theme="3" tint="0.499984740745262"/>
      </right>
      <top/>
      <bottom style="thin">
        <color theme="3" tint="0.499984740745262"/>
      </bottom>
      <diagonal/>
    </border>
    <border>
      <left/>
      <right style="thin">
        <color theme="3" tint="0.499984740745262"/>
      </right>
      <top/>
      <bottom/>
      <diagonal/>
    </border>
    <border>
      <left/>
      <right style="thin">
        <color theme="3" tint="0.499984740745262"/>
      </right>
      <top style="thin">
        <color theme="3" tint="0.499984740745262"/>
      </top>
      <bottom style="thin">
        <color theme="3" tint="0.499984740745262"/>
      </bottom>
      <diagonal/>
    </border>
    <border>
      <left style="thin">
        <color theme="3" tint="0.499984740745262"/>
      </left>
      <right style="thin">
        <color theme="3" tint="0.499984740745262"/>
      </right>
      <top style="thin">
        <color theme="3" tint="0.499984740745262"/>
      </top>
      <bottom/>
      <diagonal/>
    </border>
    <border>
      <left style="thin">
        <color theme="3" tint="0.499984740745262"/>
      </left>
      <right style="thin">
        <color theme="3" tint="0.499984740745262"/>
      </right>
      <top/>
      <bottom style="thin">
        <color theme="3" tint="0.499984740745262"/>
      </bottom>
      <diagonal/>
    </border>
    <border>
      <left style="thin">
        <color theme="3" tint="0.499984740745262"/>
      </left>
      <right style="thin">
        <color theme="3" tint="0.499984740745262"/>
      </right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9">
    <xf numFmtId="0" fontId="0" fillId="0" borderId="0" xfId="0"/>
    <xf numFmtId="0" fontId="3" fillId="2" borderId="1" xfId="0" applyFont="1" applyFill="1" applyBorder="1" applyAlignment="1">
      <alignment horizontal="left"/>
    </xf>
    <xf numFmtId="0" fontId="3" fillId="2" borderId="1" xfId="0" applyFont="1" applyFill="1" applyBorder="1"/>
    <xf numFmtId="16" fontId="3" fillId="2" borderId="1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left" vertical="top"/>
    </xf>
    <xf numFmtId="0" fontId="0" fillId="4" borderId="3" xfId="0" applyFill="1" applyBorder="1" applyAlignment="1">
      <alignment vertical="top"/>
    </xf>
    <xf numFmtId="0" fontId="0" fillId="5" borderId="4" xfId="0" applyFill="1" applyBorder="1" applyAlignment="1">
      <alignment horizontal="center"/>
    </xf>
    <xf numFmtId="0" fontId="0" fillId="3" borderId="5" xfId="0" applyFill="1" applyBorder="1" applyAlignment="1">
      <alignment horizontal="left" vertical="top"/>
    </xf>
    <xf numFmtId="0" fontId="3" fillId="4" borderId="6" xfId="0" applyFont="1" applyFill="1" applyBorder="1" applyAlignment="1">
      <alignment vertical="top"/>
    </xf>
    <xf numFmtId="0" fontId="0" fillId="4" borderId="6" xfId="0" applyFill="1" applyBorder="1" applyAlignment="1">
      <alignment vertical="top"/>
    </xf>
    <xf numFmtId="0" fontId="4" fillId="6" borderId="7" xfId="0" applyFont="1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2" fillId="7" borderId="6" xfId="0" applyFont="1" applyFill="1" applyBorder="1" applyAlignment="1">
      <alignment vertical="top"/>
    </xf>
    <xf numFmtId="0" fontId="4" fillId="7" borderId="6" xfId="0" applyFont="1" applyFill="1" applyBorder="1" applyAlignment="1">
      <alignment vertical="top"/>
    </xf>
    <xf numFmtId="0" fontId="2" fillId="8" borderId="6" xfId="0" applyFont="1" applyFill="1" applyBorder="1" applyAlignment="1">
      <alignment vertical="top"/>
    </xf>
    <xf numFmtId="0" fontId="4" fillId="8" borderId="6" xfId="0" applyFont="1" applyFill="1" applyBorder="1" applyAlignment="1">
      <alignment vertical="top"/>
    </xf>
    <xf numFmtId="0" fontId="0" fillId="3" borderId="8" xfId="0" applyFill="1" applyBorder="1" applyAlignment="1">
      <alignment horizontal="left" vertical="top"/>
    </xf>
    <xf numFmtId="0" fontId="2" fillId="8" borderId="9" xfId="0" applyFont="1" applyFill="1" applyBorder="1" applyAlignment="1">
      <alignment vertical="top"/>
    </xf>
    <xf numFmtId="0" fontId="4" fillId="8" borderId="9" xfId="0" applyFont="1" applyFill="1" applyBorder="1" applyAlignment="1">
      <alignment vertical="top"/>
    </xf>
    <xf numFmtId="0" fontId="0" fillId="5" borderId="10" xfId="0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0" fillId="9" borderId="6" xfId="0" applyFill="1" applyBorder="1" applyAlignment="1">
      <alignment horizontal="left" vertical="top"/>
    </xf>
    <xf numFmtId="0" fontId="6" fillId="10" borderId="6" xfId="0" applyFont="1" applyFill="1" applyBorder="1"/>
    <xf numFmtId="0" fontId="6" fillId="10" borderId="6" xfId="0" applyFont="1" applyFill="1" applyBorder="1" applyAlignment="1">
      <alignment vertical="top"/>
    </xf>
    <xf numFmtId="0" fontId="3" fillId="0" borderId="13" xfId="0" applyFont="1" applyBorder="1"/>
    <xf numFmtId="0" fontId="0" fillId="0" borderId="13" xfId="0" applyBorder="1"/>
    <xf numFmtId="9" fontId="0" fillId="0" borderId="13" xfId="1" applyFont="1" applyBorder="1"/>
    <xf numFmtId="0" fontId="3" fillId="0" borderId="0" xfId="0" applyFont="1"/>
    <xf numFmtId="0" fontId="7" fillId="11" borderId="6" xfId="0" applyFont="1" applyFill="1" applyBorder="1" applyAlignment="1">
      <alignment horizontal="left" vertical="top" wrapText="1"/>
    </xf>
    <xf numFmtId="0" fontId="6" fillId="0" borderId="0" xfId="0" applyFont="1"/>
    <xf numFmtId="0" fontId="7" fillId="0" borderId="6" xfId="0" applyFont="1" applyBorder="1" applyAlignment="1">
      <alignment horizontal="left" vertical="top" wrapText="1"/>
    </xf>
    <xf numFmtId="0" fontId="7" fillId="11" borderId="1" xfId="0" applyFont="1" applyFill="1" applyBorder="1" applyAlignment="1">
      <alignment horizontal="left" vertical="top" wrapText="1"/>
    </xf>
    <xf numFmtId="0" fontId="7" fillId="11" borderId="11" xfId="0" applyFont="1" applyFill="1" applyBorder="1" applyAlignment="1">
      <alignment horizontal="left" vertical="top" wrapText="1"/>
    </xf>
    <xf numFmtId="0" fontId="7" fillId="11" borderId="12" xfId="0" applyFont="1" applyFill="1" applyBorder="1" applyAlignment="1">
      <alignment horizontal="left" vertical="top" wrapText="1"/>
    </xf>
    <xf numFmtId="0" fontId="7" fillId="0" borderId="14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6" fillId="4" borderId="6" xfId="0" applyFont="1" applyFill="1" applyBorder="1" applyAlignment="1">
      <alignment vertical="top"/>
    </xf>
    <xf numFmtId="0" fontId="3" fillId="4" borderId="3" xfId="0" applyFont="1" applyFill="1" applyBorder="1" applyAlignment="1">
      <alignment vertical="top"/>
    </xf>
    <xf numFmtId="0" fontId="3" fillId="10" borderId="6" xfId="0" applyFont="1" applyFill="1" applyBorder="1"/>
    <xf numFmtId="0" fontId="0" fillId="10" borderId="6" xfId="0" applyFill="1" applyBorder="1" applyAlignment="1">
      <alignment vertical="top"/>
    </xf>
    <xf numFmtId="0" fontId="0" fillId="10" borderId="6" xfId="0" applyFill="1" applyBorder="1"/>
    <xf numFmtId="0" fontId="5" fillId="10" borderId="6" xfId="0" applyFont="1" applyFill="1" applyBorder="1"/>
    <xf numFmtId="0" fontId="9" fillId="4" borderId="6" xfId="0" applyFont="1" applyFill="1" applyBorder="1" applyAlignment="1">
      <alignment vertical="top"/>
    </xf>
    <xf numFmtId="0" fontId="0" fillId="0" borderId="0" xfId="0" pivotButton="1"/>
    <xf numFmtId="0" fontId="0" fillId="12" borderId="11" xfId="0" applyFill="1" applyBorder="1" applyAlignment="1">
      <alignment horizontal="left" vertical="top"/>
    </xf>
    <xf numFmtId="0" fontId="5" fillId="12" borderId="11" xfId="0" applyFont="1" applyFill="1" applyBorder="1"/>
    <xf numFmtId="0" fontId="6" fillId="12" borderId="12" xfId="0" applyFont="1" applyFill="1" applyBorder="1" applyAlignment="1">
      <alignment vertical="top"/>
    </xf>
    <xf numFmtId="0" fontId="5" fillId="12" borderId="12" xfId="0" applyFont="1" applyFill="1" applyBorder="1" applyAlignment="1">
      <alignment vertical="top"/>
    </xf>
    <xf numFmtId="0" fontId="0" fillId="10" borderId="6" xfId="0" applyFill="1" applyBorder="1" applyAlignment="1">
      <alignment horizontal="left" vertical="top"/>
    </xf>
    <xf numFmtId="0" fontId="6" fillId="0" borderId="11" xfId="0" applyFont="1" applyBorder="1"/>
    <xf numFmtId="0" fontId="6" fillId="0" borderId="15" xfId="0" applyFont="1" applyBorder="1"/>
    <xf numFmtId="0" fontId="6" fillId="0" borderId="16" xfId="0" applyFont="1" applyBorder="1"/>
    <xf numFmtId="0" fontId="6" fillId="0" borderId="18" xfId="0" applyFont="1" applyBorder="1"/>
    <xf numFmtId="0" fontId="6" fillId="0" borderId="19" xfId="0" applyFont="1" applyBorder="1"/>
    <xf numFmtId="0" fontId="6" fillId="0" borderId="20" xfId="0" applyFont="1" applyBorder="1"/>
    <xf numFmtId="0" fontId="6" fillId="0" borderId="21" xfId="0" applyFont="1" applyBorder="1"/>
    <xf numFmtId="0" fontId="6" fillId="0" borderId="22" xfId="0" applyFont="1" applyBorder="1"/>
    <xf numFmtId="0" fontId="6" fillId="0" borderId="23" xfId="0" applyFont="1" applyBorder="1"/>
    <xf numFmtId="0" fontId="6" fillId="0" borderId="24" xfId="0" applyFont="1" applyBorder="1"/>
    <xf numFmtId="0" fontId="0" fillId="0" borderId="18" xfId="0" applyBorder="1"/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6" fillId="0" borderId="17" xfId="0" applyFont="1" applyBorder="1"/>
    <xf numFmtId="0" fontId="0" fillId="0" borderId="24" xfId="0" applyBorder="1"/>
    <xf numFmtId="0" fontId="6" fillId="0" borderId="25" xfId="0" applyFont="1" applyBorder="1"/>
    <xf numFmtId="0" fontId="0" fillId="0" borderId="17" xfId="0" applyBorder="1"/>
    <xf numFmtId="0" fontId="5" fillId="4" borderId="6" xfId="0" applyFont="1" applyFill="1" applyBorder="1" applyAlignment="1">
      <alignment vertical="top"/>
    </xf>
    <xf numFmtId="0" fontId="6" fillId="10" borderId="12" xfId="0" applyFont="1" applyFill="1" applyBorder="1"/>
  </cellXfs>
  <cellStyles count="2">
    <cellStyle name="Normal" xfId="0" builtinId="0"/>
    <cellStyle name="Percent" xfId="1" builtinId="5"/>
  </cellStyles>
  <dxfs count="209">
    <dxf>
      <border>
        <right style="thin">
          <color theme="3" tint="0.499984740745262"/>
        </right>
        <top style="thin">
          <color theme="3" tint="0.499984740745262"/>
        </top>
      </border>
    </dxf>
    <dxf>
      <border>
        <right style="thin">
          <color theme="3" tint="0.499984740745262"/>
        </right>
        <top style="thin">
          <color theme="3" tint="0.499984740745262"/>
        </top>
      </border>
    </dxf>
    <dxf>
      <border>
        <right style="thin">
          <color theme="3" tint="0.499984740745262"/>
        </right>
        <top style="thin">
          <color theme="3" tint="0.499984740745262"/>
        </top>
      </border>
    </dxf>
    <dxf>
      <border>
        <right style="thin">
          <color theme="3" tint="0.499984740745262"/>
        </right>
        <top style="thin">
          <color theme="3" tint="0.499984740745262"/>
        </top>
      </border>
    </dxf>
    <dxf>
      <border>
        <right style="thin">
          <color theme="3" tint="0.499984740745262"/>
        </right>
        <top style="thin">
          <color theme="3" tint="0.499984740745262"/>
        </top>
      </border>
    </dxf>
    <dxf>
      <border>
        <right style="thin">
          <color theme="3" tint="0.499984740745262"/>
        </right>
        <top style="thin">
          <color theme="3" tint="0.499984740745262"/>
        </top>
      </border>
    </dxf>
    <dxf>
      <border>
        <right style="thin">
          <color theme="3" tint="0.499984740745262"/>
        </right>
        <top style="thin">
          <color theme="3" tint="0.499984740745262"/>
        </top>
      </border>
    </dxf>
    <dxf>
      <border>
        <right style="thin">
          <color theme="3" tint="0.499984740745262"/>
        </right>
        <top style="thin">
          <color theme="3" tint="0.499984740745262"/>
        </top>
      </border>
    </dxf>
    <dxf>
      <border>
        <right style="thin">
          <color theme="3" tint="0.499984740745262"/>
        </right>
        <top style="thin">
          <color theme="3" tint="0.499984740745262"/>
        </top>
      </border>
    </dxf>
    <dxf>
      <border>
        <right style="thin">
          <color theme="3" tint="0.499984740745262"/>
        </right>
        <top style="thin">
          <color theme="3" tint="0.499984740745262"/>
        </top>
      </border>
    </dxf>
    <dxf>
      <border>
        <right style="thin">
          <color theme="3" tint="0.499984740745262"/>
        </right>
        <top style="thin">
          <color theme="3" tint="0.499984740745262"/>
        </top>
      </border>
    </dxf>
    <dxf>
      <border>
        <right style="thin">
          <color theme="3" tint="0.499984740745262"/>
        </right>
        <top style="thin">
          <color theme="3" tint="0.499984740745262"/>
        </top>
      </border>
    </dxf>
    <dxf>
      <border>
        <right style="thin">
          <color theme="3" tint="0.499984740745262"/>
        </right>
        <top style="thin">
          <color theme="3" tint="0.499984740745262"/>
        </top>
      </border>
    </dxf>
    <dxf>
      <border>
        <right style="thin">
          <color theme="3" tint="0.499984740745262"/>
        </right>
        <top style="thin">
          <color theme="3" tint="0.499984740745262"/>
        </top>
      </border>
    </dxf>
    <dxf>
      <border>
        <right style="thin">
          <color theme="3" tint="0.499984740745262"/>
        </right>
        <top style="thin">
          <color theme="3" tint="0.499984740745262"/>
        </top>
      </border>
    </dxf>
    <dxf>
      <border>
        <right style="thin">
          <color theme="3" tint="0.499984740745262"/>
        </right>
        <top style="thin">
          <color theme="3" tint="0.499984740745262"/>
        </top>
      </border>
    </dxf>
    <dxf>
      <border>
        <right style="thin">
          <color theme="3" tint="0.499984740745262"/>
        </right>
        <top style="thin">
          <color theme="3" tint="0.499984740745262"/>
        </top>
      </border>
    </dxf>
    <dxf>
      <border>
        <right style="thin">
          <color theme="3" tint="0.499984740745262"/>
        </right>
        <top style="thin">
          <color theme="3" tint="0.499984740745262"/>
        </top>
      </border>
    </dxf>
    <dxf>
      <border>
        <right style="thin">
          <color theme="3" tint="0.499984740745262"/>
        </right>
        <top style="thin">
          <color theme="3" tint="0.499984740745262"/>
        </top>
      </border>
    </dxf>
    <dxf>
      <border>
        <right style="thin">
          <color theme="3" tint="0.499984740745262"/>
        </right>
        <top style="thin">
          <color theme="3" tint="0.499984740745262"/>
        </top>
      </border>
    </dxf>
    <dxf>
      <border>
        <right style="thin">
          <color theme="3" tint="0.499984740745262"/>
        </right>
        <top style="thin">
          <color theme="3" tint="0.499984740745262"/>
        </top>
      </border>
    </dxf>
    <dxf>
      <border>
        <right style="thin">
          <color theme="3" tint="0.499984740745262"/>
        </right>
        <top style="thin">
          <color theme="3" tint="0.499984740745262"/>
        </top>
      </border>
    </dxf>
    <dxf>
      <border>
        <right style="thin">
          <color theme="3" tint="0.499984740745262"/>
        </right>
        <top style="thin">
          <color theme="3" tint="0.499984740745262"/>
        </top>
      </border>
    </dxf>
    <dxf>
      <border>
        <right style="thin">
          <color theme="3" tint="0.499984740745262"/>
        </right>
        <top style="thin">
          <color theme="3" tint="0.499984740745262"/>
        </top>
      </border>
    </dxf>
    <dxf>
      <border>
        <right style="thin">
          <color theme="3" tint="0.499984740745262"/>
        </right>
        <top style="thin">
          <color theme="3" tint="0.499984740745262"/>
        </top>
      </border>
    </dxf>
    <dxf>
      <border>
        <right style="thin">
          <color theme="3" tint="0.499984740745262"/>
        </right>
        <top style="thin">
          <color theme="3" tint="0.499984740745262"/>
        </top>
      </border>
    </dxf>
    <dxf>
      <border>
        <right style="thin">
          <color theme="3" tint="0.499984740745262"/>
        </right>
        <top style="thin">
          <color theme="3" tint="0.499984740745262"/>
        </top>
      </border>
    </dxf>
    <dxf>
      <border>
        <right style="thin">
          <color theme="3" tint="0.499984740745262"/>
        </right>
        <top style="thin">
          <color theme="3" tint="0.499984740745262"/>
        </top>
      </border>
    </dxf>
    <dxf>
      <border>
        <right style="thin">
          <color theme="3" tint="0.499984740745262"/>
        </right>
        <top style="thin">
          <color theme="3" tint="0.499984740745262"/>
        </top>
      </border>
    </dxf>
    <dxf>
      <border>
        <right style="thin">
          <color theme="3" tint="0.499984740745262"/>
        </right>
        <top style="thin">
          <color theme="3" tint="0.499984740745262"/>
        </top>
      </border>
    </dxf>
    <dxf>
      <border>
        <right style="thin">
          <color theme="3" tint="0.499984740745262"/>
        </right>
        <top style="thin">
          <color theme="3" tint="0.499984740745262"/>
        </top>
      </border>
    </dxf>
    <dxf>
      <border>
        <right style="thin">
          <color theme="3" tint="0.499984740745262"/>
        </right>
        <top style="thin">
          <color theme="3" tint="0.499984740745262"/>
        </top>
      </border>
    </dxf>
    <dxf>
      <border>
        <right style="thin">
          <color theme="3" tint="0.499984740745262"/>
        </right>
        <top style="thin">
          <color theme="3" tint="0.499984740745262"/>
        </top>
      </border>
    </dxf>
    <dxf>
      <border>
        <right style="thin">
          <color theme="3" tint="0.499984740745262"/>
        </right>
        <top style="thin">
          <color theme="3" tint="0.499984740745262"/>
        </top>
      </border>
    </dxf>
    <dxf>
      <border>
        <right style="thin">
          <color theme="3" tint="0.499984740745262"/>
        </right>
        <top style="thin">
          <color theme="3" tint="0.499984740745262"/>
        </top>
      </border>
    </dxf>
    <dxf>
      <border>
        <right style="thin">
          <color theme="3" tint="0.499984740745262"/>
        </right>
        <top style="thin">
          <color theme="3" tint="0.499984740745262"/>
        </top>
      </border>
    </dxf>
    <dxf>
      <border>
        <top style="thin">
          <color theme="3" tint="0.499984740745262"/>
        </top>
      </border>
    </dxf>
    <dxf>
      <border>
        <top style="thin">
          <color theme="3" tint="0.499984740745262"/>
        </top>
      </border>
    </dxf>
    <dxf>
      <border>
        <top style="thin">
          <color theme="3" tint="0.499984740745262"/>
        </top>
      </border>
    </dxf>
    <dxf>
      <border>
        <top style="thin">
          <color theme="3" tint="0.499984740745262"/>
        </top>
      </border>
    </dxf>
    <dxf>
      <border>
        <top style="thin">
          <color theme="3" tint="0.499984740745262"/>
        </top>
      </border>
    </dxf>
    <dxf>
      <border>
        <top style="thin">
          <color theme="3" tint="0.499984740745262"/>
        </top>
      </border>
    </dxf>
    <dxf>
      <border>
        <top style="thin">
          <color theme="3" tint="0.499984740745262"/>
        </top>
      </border>
    </dxf>
    <dxf>
      <border>
        <top style="thin">
          <color theme="3" tint="0.499984740745262"/>
        </top>
      </border>
    </dxf>
    <dxf>
      <border>
        <top style="thin">
          <color theme="3" tint="0.499984740745262"/>
        </top>
      </border>
    </dxf>
    <dxf>
      <border>
        <top style="thin">
          <color theme="3" tint="0.499984740745262"/>
        </top>
      </border>
    </dxf>
    <dxf>
      <border>
        <top style="thin">
          <color theme="3" tint="0.499984740745262"/>
        </top>
      </border>
    </dxf>
    <dxf>
      <border>
        <top style="thin">
          <color theme="3" tint="0.499984740745262"/>
        </top>
      </border>
    </dxf>
    <dxf>
      <border>
        <top style="thin">
          <color theme="3" tint="0.499984740745262"/>
        </top>
      </border>
    </dxf>
    <dxf>
      <border>
        <top style="thin">
          <color theme="3" tint="0.499984740745262"/>
        </top>
      </border>
    </dxf>
    <dxf>
      <border>
        <top style="thin">
          <color theme="3" tint="0.499984740745262"/>
        </top>
      </border>
    </dxf>
    <dxf>
      <border>
        <top style="thin">
          <color theme="3" tint="0.499984740745262"/>
        </top>
      </border>
    </dxf>
    <dxf>
      <border>
        <top style="thin">
          <color theme="3" tint="0.499984740745262"/>
        </top>
      </border>
    </dxf>
    <dxf>
      <border>
        <top style="thin">
          <color theme="3" tint="0.499984740745262"/>
        </top>
      </border>
    </dxf>
    <dxf>
      <border>
        <top style="thin">
          <color theme="3" tint="0.499984740745262"/>
        </top>
      </border>
    </dxf>
    <dxf>
      <border>
        <top style="thin">
          <color theme="3" tint="0.499984740745262"/>
        </top>
      </border>
    </dxf>
    <dxf>
      <border>
        <top style="thin">
          <color theme="3" tint="0.499984740745262"/>
        </top>
      </border>
    </dxf>
    <dxf>
      <border>
        <top style="thin">
          <color theme="3" tint="0.499984740745262"/>
        </top>
      </border>
    </dxf>
    <dxf>
      <border>
        <top style="thin">
          <color theme="3" tint="0.499984740745262"/>
        </top>
      </border>
    </dxf>
    <dxf>
      <border>
        <top style="thin">
          <color theme="3" tint="0.499984740745262"/>
        </top>
      </border>
    </dxf>
    <dxf>
      <border>
        <top style="thin">
          <color theme="3" tint="0.499984740745262"/>
        </top>
        <bottom style="thin">
          <color theme="3" tint="0.499984740745262"/>
        </bottom>
      </border>
    </dxf>
    <dxf>
      <border>
        <top style="thin">
          <color theme="3" tint="0.499984740745262"/>
        </top>
        <bottom style="thin">
          <color theme="3" tint="0.499984740745262"/>
        </bottom>
      </border>
    </dxf>
    <dxf>
      <border>
        <top style="thin">
          <color theme="3" tint="0.499984740745262"/>
        </top>
        <bottom style="thin">
          <color theme="3" tint="0.499984740745262"/>
        </bottom>
      </border>
    </dxf>
    <dxf>
      <border>
        <top style="thin">
          <color theme="3" tint="0.499984740745262"/>
        </top>
        <bottom style="thin">
          <color theme="3" tint="0.499984740745262"/>
        </bottom>
      </border>
    </dxf>
    <dxf>
      <border>
        <right style="thin">
          <color theme="3" tint="0.499984740745262"/>
        </right>
      </border>
    </dxf>
    <dxf>
      <border>
        <left style="thin">
          <color theme="3" tint="0.499984740745262"/>
        </left>
        <right style="thin">
          <color theme="3" tint="0.499984740745262"/>
        </right>
      </border>
    </dxf>
    <dxf>
      <border>
        <left style="thin">
          <color theme="3" tint="0.499984740745262"/>
        </left>
        <right style="thin">
          <color theme="3" tint="0.499984740745262"/>
        </right>
      </border>
    </dxf>
    <dxf>
      <border>
        <left style="thin">
          <color theme="3" tint="0.499984740745262"/>
        </left>
        <right style="thin">
          <color theme="3" tint="0.499984740745262"/>
        </right>
      </border>
    </dxf>
    <dxf>
      <border>
        <left style="thin">
          <color theme="3" tint="0.499984740745262"/>
        </left>
        <right style="thin">
          <color theme="3" tint="0.499984740745262"/>
        </right>
      </border>
    </dxf>
    <dxf>
      <border>
        <left style="thin">
          <color theme="3" tint="0.499984740745262"/>
        </left>
        <right style="thin">
          <color theme="3" tint="0.499984740745262"/>
        </right>
      </border>
    </dxf>
    <dxf>
      <border>
        <left style="thin">
          <color theme="3" tint="0.499984740745262"/>
        </left>
        <right style="thin">
          <color theme="3" tint="0.499984740745262"/>
        </right>
      </border>
    </dxf>
    <dxf>
      <border>
        <left style="thin">
          <color theme="3" tint="0.499984740745262"/>
        </left>
        <right style="thin">
          <color theme="3" tint="0.499984740745262"/>
        </right>
      </border>
    </dxf>
    <dxf>
      <border>
        <left style="thin">
          <color theme="3" tint="0.499984740745262"/>
        </left>
        <right style="thin">
          <color theme="3" tint="0.499984740745262"/>
        </right>
      </border>
    </dxf>
    <dxf>
      <border>
        <left style="thin">
          <color theme="3" tint="0.499984740745262"/>
        </left>
        <right style="thin">
          <color theme="3" tint="0.499984740745262"/>
        </right>
      </border>
    </dxf>
    <dxf>
      <border>
        <left style="thin">
          <color theme="3" tint="0.499984740745262"/>
        </left>
        <right style="thin">
          <color theme="3" tint="0.499984740745262"/>
        </right>
      </border>
    </dxf>
    <dxf>
      <border>
        <left style="thin">
          <color theme="3" tint="0.499984740745262"/>
        </left>
        <right style="thin">
          <color theme="3" tint="0.499984740745262"/>
        </right>
      </border>
    </dxf>
    <dxf>
      <border>
        <left style="thin">
          <color theme="3" tint="0.499984740745262"/>
        </left>
        <right style="thin">
          <color theme="3" tint="0.499984740745262"/>
        </right>
      </border>
    </dxf>
    <dxf>
      <border>
        <left style="thin">
          <color theme="3" tint="0.499984740745262"/>
        </left>
        <right style="thin">
          <color theme="3" tint="0.499984740745262"/>
        </right>
      </border>
    </dxf>
    <dxf>
      <border>
        <left style="thin">
          <color theme="3" tint="0.499984740745262"/>
        </left>
        <right style="thin">
          <color theme="3" tint="0.499984740745262"/>
        </right>
      </border>
    </dxf>
    <dxf>
      <border>
        <left style="thin">
          <color theme="3" tint="0.499984740745262"/>
        </left>
        <right style="thin">
          <color theme="3" tint="0.499984740745262"/>
        </right>
        <bottom style="thin">
          <color theme="3" tint="0.499984740745262"/>
        </bottom>
      </border>
    </dxf>
    <dxf>
      <border>
        <left style="thin">
          <color theme="3" tint="0.499984740745262"/>
        </left>
        <right style="thin">
          <color theme="3" tint="0.499984740745262"/>
        </right>
        <bottom style="thin">
          <color theme="3" tint="0.499984740745262"/>
        </bottom>
      </border>
    </dxf>
    <dxf>
      <border>
        <left style="thin">
          <color theme="3" tint="0.499984740745262"/>
        </left>
        <right style="thin">
          <color theme="3" tint="0.499984740745262"/>
        </right>
        <bottom style="thin">
          <color theme="3" tint="0.499984740745262"/>
        </bottom>
      </border>
    </dxf>
    <dxf>
      <border>
        <left style="thin">
          <color theme="3" tint="0.499984740745262"/>
        </left>
        <right style="thin">
          <color theme="3" tint="0.499984740745262"/>
        </right>
        <bottom style="thin">
          <color theme="3" tint="0.499984740745262"/>
        </bottom>
      </border>
    </dxf>
    <dxf>
      <border>
        <left style="thin">
          <color theme="3" tint="0.499984740745262"/>
        </left>
        <right style="thin">
          <color theme="3" tint="0.499984740745262"/>
        </right>
        <bottom style="thin">
          <color theme="3" tint="0.499984740745262"/>
        </bottom>
      </border>
    </dxf>
    <dxf>
      <border>
        <left style="thin">
          <color theme="3" tint="0.499984740745262"/>
        </left>
        <right style="thin">
          <color theme="3" tint="0.499984740745262"/>
        </right>
        <bottom style="thin">
          <color theme="3" tint="0.499984740745262"/>
        </bottom>
      </border>
    </dxf>
    <dxf>
      <border>
        <left style="thin">
          <color theme="3" tint="0.499984740745262"/>
        </left>
        <right style="thin">
          <color theme="3" tint="0.499984740745262"/>
        </right>
        <bottom style="thin">
          <color theme="3" tint="0.499984740745262"/>
        </bottom>
      </border>
    </dxf>
    <dxf>
      <border>
        <left style="thin">
          <color theme="3" tint="0.499984740745262"/>
        </left>
        <right style="thin">
          <color theme="3" tint="0.499984740745262"/>
        </right>
        <bottom style="thin">
          <color theme="3" tint="0.499984740745262"/>
        </bottom>
      </border>
    </dxf>
    <dxf>
      <border>
        <left style="thin">
          <color theme="3" tint="0.499984740745262"/>
        </left>
        <right style="thin">
          <color theme="3" tint="0.499984740745262"/>
        </right>
        <bottom style="thin">
          <color theme="3" tint="0.499984740745262"/>
        </bottom>
      </border>
    </dxf>
    <dxf>
      <border>
        <left style="thin">
          <color theme="3" tint="0.499984740745262"/>
        </left>
        <right style="thin">
          <color theme="3" tint="0.499984740745262"/>
        </right>
        <bottom style="thin">
          <color theme="3" tint="0.499984740745262"/>
        </bottom>
      </border>
    </dxf>
    <dxf>
      <border>
        <left style="thin">
          <color theme="3" tint="0.499984740745262"/>
        </left>
        <right style="thin">
          <color theme="3" tint="0.499984740745262"/>
        </right>
        <bottom style="thin">
          <color theme="3" tint="0.499984740745262"/>
        </bottom>
      </border>
    </dxf>
    <dxf>
      <border>
        <left style="thin">
          <color theme="3" tint="0.499984740745262"/>
        </left>
        <right style="thin">
          <color theme="3" tint="0.499984740745262"/>
        </right>
        <bottom style="thin">
          <color theme="3" tint="0.499984740745262"/>
        </bottom>
      </border>
    </dxf>
    <dxf>
      <border>
        <left style="thin">
          <color theme="3" tint="0.499984740745262"/>
        </left>
        <right style="thin">
          <color theme="3" tint="0.499984740745262"/>
        </right>
        <bottom style="thin">
          <color theme="3" tint="0.499984740745262"/>
        </bottom>
      </border>
    </dxf>
    <dxf>
      <border>
        <left style="thin">
          <color theme="3" tint="0.499984740745262"/>
        </left>
        <right style="thin">
          <color theme="3" tint="0.499984740745262"/>
        </right>
        <bottom style="thin">
          <color theme="3" tint="0.499984740745262"/>
        </bottom>
      </border>
    </dxf>
    <dxf>
      <border>
        <left style="thin">
          <color theme="3" tint="0.499984740745262"/>
        </left>
        <right style="thin">
          <color theme="3" tint="0.499984740745262"/>
        </right>
        <bottom style="thin">
          <color theme="3" tint="0.499984740745262"/>
        </bottom>
      </border>
    </dxf>
    <dxf>
      <border>
        <left style="thin">
          <color theme="3" tint="0.499984740745262"/>
        </left>
        <right style="thin">
          <color theme="3" tint="0.499984740745262"/>
        </right>
        <bottom style="thin">
          <color theme="3" tint="0.499984740745262"/>
        </bottom>
      </border>
    </dxf>
    <dxf>
      <border>
        <left style="thin">
          <color theme="3" tint="0.499984740745262"/>
        </left>
        <right style="thin">
          <color theme="3" tint="0.499984740745262"/>
        </right>
        <bottom style="thin">
          <color theme="3" tint="0.499984740745262"/>
        </bottom>
      </border>
    </dxf>
    <dxf>
      <border>
        <left style="thin">
          <color theme="3" tint="0.499984740745262"/>
        </left>
        <right style="thin">
          <color theme="3" tint="0.499984740745262"/>
        </right>
        <bottom style="thin">
          <color theme="3" tint="0.499984740745262"/>
        </bottom>
      </border>
    </dxf>
    <dxf>
      <border>
        <left style="thin">
          <color theme="3" tint="0.499984740745262"/>
        </left>
        <right style="thin">
          <color theme="3" tint="0.499984740745262"/>
        </right>
        <bottom style="thin">
          <color theme="3" tint="0.499984740745262"/>
        </bottom>
      </border>
    </dxf>
    <dxf>
      <border>
        <left style="thin">
          <color theme="3" tint="0.499984740745262"/>
        </left>
        <right style="thin">
          <color theme="3" tint="0.499984740745262"/>
        </right>
        <bottom style="thin">
          <color theme="3" tint="0.499984740745262"/>
        </bottom>
      </border>
    </dxf>
    <dxf>
      <border>
        <left style="thin">
          <color theme="3" tint="0.499984740745262"/>
        </left>
        <right style="thin">
          <color theme="3" tint="0.499984740745262"/>
        </right>
        <bottom style="thin">
          <color theme="3" tint="0.499984740745262"/>
        </bottom>
      </border>
    </dxf>
    <dxf>
      <border>
        <left style="thin">
          <color theme="3" tint="0.499984740745262"/>
        </left>
        <right style="thin">
          <color theme="3" tint="0.499984740745262"/>
        </right>
        <bottom style="thin">
          <color theme="3" tint="0.499984740745262"/>
        </bottom>
      </border>
    </dxf>
    <dxf>
      <border>
        <left style="thin">
          <color theme="3" tint="0.499984740745262"/>
        </left>
        <right style="thin">
          <color theme="3" tint="0.499984740745262"/>
        </right>
        <bottom style="thin">
          <color theme="3" tint="0.499984740745262"/>
        </bottom>
      </border>
    </dxf>
    <dxf>
      <border>
        <left style="thin">
          <color theme="3" tint="0.499984740745262"/>
        </left>
        <right style="thin">
          <color theme="3" tint="0.499984740745262"/>
        </right>
        <bottom style="thin">
          <color theme="3" tint="0.499984740745262"/>
        </bottom>
      </border>
    </dxf>
    <dxf>
      <border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</border>
    </dxf>
    <dxf>
      <border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</border>
    </dxf>
    <dxf>
      <border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</border>
    </dxf>
    <dxf>
      <border>
        <left style="thin">
          <color theme="3" tint="0.499984740745262"/>
        </left>
        <right style="thin">
          <color theme="3" tint="0.499984740745262"/>
        </right>
        <bottom style="thin">
          <color theme="3" tint="0.499984740745262"/>
        </bottom>
      </border>
    </dxf>
    <dxf>
      <border>
        <left style="thin">
          <color theme="3" tint="0.499984740745262"/>
        </left>
        <right style="thin">
          <color theme="3" tint="0.499984740745262"/>
        </right>
        <bottom style="thin">
          <color theme="3" tint="0.499984740745262"/>
        </bottom>
      </border>
    </dxf>
    <dxf>
      <border>
        <left style="thin">
          <color theme="3" tint="0.499984740745262"/>
        </left>
        <right style="thin">
          <color theme="3" tint="0.499984740745262"/>
        </right>
        <bottom style="thin">
          <color theme="3" tint="0.499984740745262"/>
        </bottom>
      </border>
    </dxf>
    <dxf>
      <border>
        <left style="thin">
          <color theme="3" tint="0.499984740745262"/>
        </left>
        <right style="thin">
          <color theme="3" tint="0.499984740745262"/>
        </right>
        <bottom style="thin">
          <color theme="3" tint="0.499984740745262"/>
        </bottom>
      </border>
    </dxf>
    <dxf>
      <border>
        <left style="thin">
          <color theme="3" tint="0.499984740745262"/>
        </left>
        <right style="thin">
          <color theme="3" tint="0.499984740745262"/>
        </right>
        <bottom style="thin">
          <color theme="3" tint="0.499984740745262"/>
        </bottom>
      </border>
    </dxf>
    <dxf>
      <border>
        <left style="thin">
          <color theme="3" tint="0.499984740745262"/>
        </left>
        <right style="thin">
          <color theme="3" tint="0.499984740745262"/>
        </right>
        <bottom style="thin">
          <color theme="3" tint="0.499984740745262"/>
        </bottom>
      </border>
    </dxf>
    <dxf>
      <border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</border>
    </dxf>
    <dxf>
      <border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</border>
    </dxf>
    <dxf>
      <border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border>
        <left style="thin">
          <color indexed="64"/>
        </left>
        <right style="thin">
          <color indexed="64"/>
        </right>
      </border>
    </dxf>
    <dxf>
      <border>
        <left/>
        <right/>
        <top/>
      </border>
    </dxf>
    <dxf>
      <border>
        <left/>
        <right/>
        <top/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theme="1"/>
      </font>
    </dxf>
    <dxf>
      <font>
        <color theme="1"/>
      </font>
    </dxf>
    <dxf>
      <font>
        <color theme="1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onald Cruz - A67331" id="{7486B9FE-E2ED-4A9E-A7DF-3EF2CF1FE663}" userId="S::Donald.Cruz@microchip.com::4046e935-6b1a-466f-b39c-609ad7e4dd6f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onald Cruz - A67331" refreshedDate="46314.572100115744" createdVersion="8" refreshedVersion="8" minRefreshableVersion="3" recordCount="39" xr:uid="{1DFEE93A-F83C-455A-9C15-C190C8CBD1EC}">
  <cacheSource type="worksheet">
    <worksheetSource ref="B2:K41" sheet="List of Practitioners"/>
  </cacheSource>
  <cacheFields count="10">
    <cacheField name="Number" numFmtId="0">
      <sharedItems containsSemiMixedTypes="0" containsString="0" containsNumber="1" containsInteger="1" minValue="1" maxValue="23"/>
    </cacheField>
    <cacheField name="Count" numFmtId="0">
      <sharedItems containsSemiMixedTypes="0" containsString="0" containsNumber="1" containsInteger="1" minValue="1" maxValue="1"/>
    </cacheField>
    <cacheField name="Name" numFmtId="0">
      <sharedItems count="39">
        <s v="Limuel Manaig"/>
        <s v="Janice Ruth Bayogan"/>
        <s v="Jhen Cruz"/>
        <s v="Edward Henry Dela Cruz"/>
        <s v="Jerome Bando"/>
        <s v="Normie Quiminales"/>
        <s v="Sonny Gambala"/>
        <s v="Carlo Emmanuel Almazora"/>
        <s v="Rinor Baluyot"/>
        <s v="Rely Remo"/>
        <s v="Mark Insauriga"/>
        <s v="Julius Robles"/>
        <s v="Maria Theresa Ferrer"/>
        <s v="Myla Baided"/>
        <s v="Dennis Desacola"/>
        <s v="Flor Abayan"/>
        <s v="Cristy Caringal"/>
        <s v="Joel Torio"/>
        <s v="Glenmore Gabuay"/>
        <s v="Marlon Aquino"/>
        <s v="Roland Barrientos"/>
        <s v="Adriano Ancheta"/>
        <s v="Reina Abrilla"/>
        <s v="Kristine Lumapas"/>
        <s v="Angie-lyn Lawigan"/>
        <s v="Marife Cura Borgonos"/>
        <s v="Manilyn Lagumen"/>
        <s v="Criztel Bulatao"/>
        <s v="Laline Mamplata"/>
        <s v="Alvin Cabrera"/>
        <s v="Peter Paul Prado"/>
        <s v="Christopher De Chavez"/>
        <s v="Jan Felix Cortel"/>
        <s v="Jackielyn Gajes"/>
        <s v="Janice Bagsit"/>
        <s v="Uldarico Delos Santos"/>
        <s v="Ronie Tapeno"/>
        <s v="Vincent Amos Cabanay"/>
        <s v="Renz Renan Caguimbal"/>
      </sharedItems>
    </cacheField>
    <cacheField name="Belt" numFmtId="0">
      <sharedItems count="4">
        <s v="Green Belt"/>
        <s v="Black Belt"/>
        <s v="GB Coach"/>
        <s v="GB Candidate"/>
      </sharedItems>
    </cacheField>
    <cacheField name="Area" numFmtId="0">
      <sharedItems/>
    </cacheField>
    <cacheField name="Immediate Superior" numFmtId="0">
      <sharedItems/>
    </cacheField>
    <cacheField name="Project Proposal" numFmtId="0">
      <sharedItems containsBlank="1" count="20">
        <s v="Improvement of Cost related to High Pogo Pin consumption"/>
        <s v="Sigma-X Striptest Utilization Improvement"/>
        <s v="To be assigned to a Facilities Project"/>
        <s v="WAFER PROBE- Probecard Life Efficiency Improvement"/>
        <s v="Optimize Saw Singulate Blade Life to Reduce Blade Consumption"/>
        <s v="Improvement of Setup fails at Probe"/>
        <s v="Resigned"/>
        <s v="Strip Test Loaded Utilization Enhancement Through Setup Conversion Downtime Reduction"/>
        <s v="Test Induced Opens Fails reduction at StripTest"/>
        <s v="STO Site Utilization Improvement"/>
        <s v="Reduction of Final Outgoing Inspection (FOI) Lot Rejection Rate "/>
        <s v="Crash Card Reduction at Probe Test"/>
        <s v="GB COACH"/>
        <s v="ATO Site Utilization Improvement"/>
        <s v="Reduction of broken package issue at FT Singulated"/>
        <s v="662A5 DFLL Reject Reduction"/>
        <s v="Strip Test Loaded Utilization Enhancement Project" u="1"/>
        <m u="1"/>
        <s v="ATO/STO Site Utilization Improvement" u="1"/>
        <s v="Improvement of Cost related to High Pogo Pin consumption at Striptest" u="1"/>
      </sharedItems>
    </cacheField>
    <cacheField name="Primary Metric" numFmtId="0">
      <sharedItems containsBlank="1"/>
    </cacheField>
    <cacheField name="KRA Linkage" numFmtId="0">
      <sharedItems containsBlank="1"/>
    </cacheField>
    <cacheField name="11-Sep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">
  <r>
    <n v="1"/>
    <n v="1"/>
    <x v="0"/>
    <x v="0"/>
    <s v="Test Product Engineering"/>
    <s v="Lhen Leslie Cometa"/>
    <x v="0"/>
    <s v="Pogo Pin expenses &lt; $3,000 per Million IC output"/>
    <s v="Singulated Costs / hr ( ≤ target)"/>
    <s v="Present"/>
  </r>
  <r>
    <n v="2"/>
    <n v="1"/>
    <x v="1"/>
    <x v="0"/>
    <s v="BU Product Engineering (WSG)"/>
    <s v="Adrian Caramol"/>
    <x v="1"/>
    <s v="Sigma-X V93K Striptest Overall utilization"/>
    <s v="Strip Test  loaded utilization"/>
    <s v="Absent"/>
  </r>
  <r>
    <n v="3"/>
    <n v="1"/>
    <x v="2"/>
    <x v="0"/>
    <s v="Yield Enhancement"/>
    <s v="Flor Abayan"/>
    <x v="2"/>
    <m/>
    <m/>
    <s v="Absent"/>
  </r>
  <r>
    <n v="4"/>
    <n v="1"/>
    <x v="3"/>
    <x v="0"/>
    <s v="Hardware Assembly"/>
    <s v="Josie Selda"/>
    <x v="3"/>
    <s v="Probe Pin lifetime improvement"/>
    <s v="Probe Costs / hr ( ≤ target)"/>
    <s v="Present"/>
  </r>
  <r>
    <n v="5"/>
    <n v="1"/>
    <x v="4"/>
    <x v="0"/>
    <s v="Test Process Engineering - Striptest"/>
    <s v="Reina Abrilla"/>
    <x v="4"/>
    <s v="Blade Consumption Rate (blades/1M IC units)"/>
    <s v="Strip Costs / hr ( ≤ target)"/>
    <s v="Present"/>
  </r>
  <r>
    <n v="6"/>
    <n v="1"/>
    <x v="5"/>
    <x v="0"/>
    <s v="Process Engineering - Probe"/>
    <s v="Vilma Dacanay"/>
    <x v="5"/>
    <s v="Setup Fail LRR"/>
    <s v="Probe Utilization (hrs/day)"/>
    <s v="Present"/>
  </r>
  <r>
    <n v="7"/>
    <n v="1"/>
    <x v="6"/>
    <x v="0"/>
    <s v="Process Engineering - Probe"/>
    <s v="Vilma Dacanay"/>
    <x v="6"/>
    <m/>
    <m/>
    <s v="Absent"/>
  </r>
  <r>
    <n v="8"/>
    <n v="1"/>
    <x v="7"/>
    <x v="0"/>
    <s v="Test Process Engineering - Striptest"/>
    <s v="Reina Abrilla"/>
    <x v="7"/>
    <s v="Utilization Target of &gt;85%"/>
    <s v="Strip Test  loaded utilization"/>
    <s v="Present"/>
  </r>
  <r>
    <n v="9"/>
    <n v="1"/>
    <x v="8"/>
    <x v="0"/>
    <s v="Test Systems Group"/>
    <s v="Murriel Natiola"/>
    <x v="4"/>
    <s v="Blade Consumption Rate (blades/1M IC units)"/>
    <s v="Strip Costs / hr ( ≤ target)"/>
    <s v="Present"/>
  </r>
  <r>
    <n v="10"/>
    <n v="1"/>
    <x v="9"/>
    <x v="1"/>
    <s v="BU Product Engineering (WSG)"/>
    <s v="Adrian Caramol"/>
    <x v="1"/>
    <s v="Sigma-X V93K Striptest Overall utilization"/>
    <s v="Strip Test  loaded utilization"/>
    <s v="Present"/>
  </r>
  <r>
    <n v="11"/>
    <n v="1"/>
    <x v="10"/>
    <x v="1"/>
    <s v="Test Process Engineering - Striptest"/>
    <s v="Reina Abrilla"/>
    <x v="8"/>
    <s v="Utilization, Retest Rate"/>
    <s v="Strip Test  loaded utilization"/>
    <s v="Present"/>
  </r>
  <r>
    <n v="12"/>
    <n v="1"/>
    <x v="11"/>
    <x v="1"/>
    <s v="Equipment Engineering"/>
    <s v="Dennis Desacola"/>
    <x v="9"/>
    <s v="% Site Utilization"/>
    <s v="FT loaded utilization"/>
    <s v="Present"/>
  </r>
  <r>
    <n v="13"/>
    <n v="1"/>
    <x v="12"/>
    <x v="1"/>
    <s v="Process Engineering - Scan"/>
    <s v="Donald Cruz"/>
    <x v="10"/>
    <s v="FOI (%LRR)"/>
    <s v="FOI (≤ PPM)"/>
    <s v="Present"/>
  </r>
  <r>
    <n v="14"/>
    <n v="1"/>
    <x v="13"/>
    <x v="1"/>
    <s v="Process Engineering - Probe"/>
    <s v="Vilma Dacanay"/>
    <x v="11"/>
    <s v="Crash Card Occurrence"/>
    <s v="Probe Costs / hr ( ≤ target)"/>
    <s v="Absent"/>
  </r>
  <r>
    <n v="15"/>
    <n v="1"/>
    <x v="14"/>
    <x v="1"/>
    <s v="Equipment Engineering"/>
    <s v="Marcel Kranz"/>
    <x v="5"/>
    <s v="Setup Fail LRR"/>
    <s v="Probe Utilization (hrs/day)"/>
    <s v="Present"/>
  </r>
  <r>
    <n v="16"/>
    <n v="1"/>
    <x v="15"/>
    <x v="2"/>
    <s v="Yield Enhancement"/>
    <s v="SJ Peng"/>
    <x v="12"/>
    <m/>
    <m/>
    <s v="Present"/>
  </r>
  <r>
    <n v="1"/>
    <n v="1"/>
    <x v="16"/>
    <x v="3"/>
    <s v="Test Hardware Engineering"/>
    <s v="Jeric Pantig"/>
    <x v="0"/>
    <s v="Pogo Pin expenses &lt; $3,000 per Million IC output"/>
    <s v="Singulated Costs / hr ( ≤ target)"/>
    <s v="Present"/>
  </r>
  <r>
    <n v="2"/>
    <n v="1"/>
    <x v="17"/>
    <x v="3"/>
    <s v="Test Hardware Engineering"/>
    <s v="Patrick Serafica"/>
    <x v="13"/>
    <s v="% Site Utilization"/>
    <s v="FT loaded utilization"/>
    <s v="Present"/>
  </r>
  <r>
    <n v="3"/>
    <n v="1"/>
    <x v="18"/>
    <x v="3"/>
    <s v="Process Engineering - FT Singulated"/>
    <s v="Donald Cruz"/>
    <x v="14"/>
    <s v="Broken package PNR cases"/>
    <s v="Customer Complaints for Quality / Delivery (≥ Mu / issue)"/>
    <s v="Present"/>
  </r>
  <r>
    <n v="4"/>
    <n v="1"/>
    <x v="19"/>
    <x v="3"/>
    <s v="Equipment Engineering"/>
    <s v="Julio Robles"/>
    <x v="14"/>
    <s v="Broken package PNR cases"/>
    <s v="Customer Complaints for Quality / Delivery (≥ Mu / issue)"/>
    <s v="Absent"/>
  </r>
  <r>
    <n v="5"/>
    <n v="1"/>
    <x v="20"/>
    <x v="3"/>
    <s v="Equipment Engineering"/>
    <s v="Julio Robles"/>
    <x v="13"/>
    <s v="% Site Utilization"/>
    <s v="FT loaded utilization"/>
    <s v="Present"/>
  </r>
  <r>
    <n v="6"/>
    <n v="1"/>
    <x v="21"/>
    <x v="3"/>
    <s v="Equipment Engineering"/>
    <s v="Julio Robles"/>
    <x v="13"/>
    <s v="% Site Utilization"/>
    <s v="FT loaded utilization"/>
    <s v="Present"/>
  </r>
  <r>
    <n v="7"/>
    <n v="1"/>
    <x v="22"/>
    <x v="3"/>
    <s v="Test Process Engineering - Striptest"/>
    <s v="Donald Cruz"/>
    <x v="7"/>
    <s v="Utilization Target of &gt;85%"/>
    <s v="Strip Test  loaded utilization"/>
    <s v="Present"/>
  </r>
  <r>
    <n v="8"/>
    <n v="1"/>
    <x v="23"/>
    <x v="3"/>
    <s v="Process Engineering - Probe"/>
    <s v="Vilma Dacanay"/>
    <x v="3"/>
    <s v="Probe Pin lifetime improvement"/>
    <s v="Probe Costs / hr ( ≤ target)"/>
    <s v="Present"/>
  </r>
  <r>
    <n v="9"/>
    <n v="1"/>
    <x v="24"/>
    <x v="3"/>
    <s v="Wafer Probe Equipment Engineering"/>
    <s v="Leandro Maneja"/>
    <x v="3"/>
    <s v="Probe Pin lifetime improvement"/>
    <s v="Probe Costs / hr ( ≤ target)"/>
    <s v="Present"/>
  </r>
  <r>
    <n v="10"/>
    <n v="1"/>
    <x v="25"/>
    <x v="3"/>
    <s v="Wafer Probe Equipment Engineering"/>
    <s v="Leandro Maneja"/>
    <x v="11"/>
    <s v="Crash Card Occurrence"/>
    <s v="Probe Costs / hr ( ≤ target)"/>
    <s v="Present"/>
  </r>
  <r>
    <n v="11"/>
    <n v="1"/>
    <x v="26"/>
    <x v="3"/>
    <s v="Yield Enhancement"/>
    <s v="Flor Abayan"/>
    <x v="2"/>
    <m/>
    <m/>
    <s v="Present"/>
  </r>
  <r>
    <n v="12"/>
    <n v="1"/>
    <x v="27"/>
    <x v="3"/>
    <s v="Test Product Engineering"/>
    <s v="Limuel Manaig"/>
    <x v="0"/>
    <s v="Pogo Pin expenses &lt; $3,000 per Million IC output"/>
    <s v="Singulated Costs / hr ( ≤ target)"/>
    <s v="Absent"/>
  </r>
  <r>
    <n v="13"/>
    <n v="1"/>
    <x v="28"/>
    <x v="3"/>
    <s v="IS-Business Process Automation"/>
    <s v="Natthamon Khamroon"/>
    <x v="10"/>
    <s v="FOI (%LRR)"/>
    <s v="FOI (≤ PPM)"/>
    <s v="Absent"/>
  </r>
  <r>
    <n v="14"/>
    <n v="1"/>
    <x v="29"/>
    <x v="3"/>
    <s v="Test Product Engineering"/>
    <s v="Michelle Porte"/>
    <x v="1"/>
    <s v="Sigma-X V93K Striptest Overall utilization"/>
    <s v="Strip Test  loaded utilization"/>
    <s v="Absent"/>
  </r>
  <r>
    <n v="15"/>
    <n v="1"/>
    <x v="30"/>
    <x v="3"/>
    <s v="Equipment Engineering"/>
    <s v="Aries Barbaza / Dennis Desacola"/>
    <x v="11"/>
    <s v="Crash Card Occurrence"/>
    <s v="Probe Costs / hr ( ≤ target)"/>
    <s v="Absent"/>
  </r>
  <r>
    <n v="16"/>
    <n v="1"/>
    <x v="31"/>
    <x v="3"/>
    <s v="Equipment Engineering"/>
    <s v="Julio Robles"/>
    <x v="9"/>
    <s v="% Site Utilization"/>
    <s v="FT loaded utilization"/>
    <s v="Absent"/>
  </r>
  <r>
    <n v="17"/>
    <n v="1"/>
    <x v="32"/>
    <x v="3"/>
    <s v="Equipment Engineering"/>
    <s v="Julio Robles"/>
    <x v="9"/>
    <s v="% Site Utilization"/>
    <s v="FT loaded utilization"/>
    <s v="Absent"/>
  </r>
  <r>
    <n v="18"/>
    <n v="1"/>
    <x v="33"/>
    <x v="3"/>
    <s v="Quality Engineering"/>
    <s v="Bobby Tovera"/>
    <x v="10"/>
    <s v="FOI (%LRR)"/>
    <s v="FOI (≤ PPM)"/>
    <s v="Present"/>
  </r>
  <r>
    <n v="19"/>
    <n v="1"/>
    <x v="34"/>
    <x v="3"/>
    <s v="Quality Engineering"/>
    <s v="Joel Villanueva"/>
    <x v="14"/>
    <s v="Broken package PNR cases"/>
    <s v="Customer Complaints for Quality / Delivery (≥ Mu / issue)"/>
    <s v="Present"/>
  </r>
  <r>
    <n v="20"/>
    <n v="1"/>
    <x v="35"/>
    <x v="3"/>
    <s v="Test Product Engineering"/>
    <s v="Archie Mendoza"/>
    <x v="15"/>
    <s v="662A5 First pass yield"/>
    <s v="HPMCU FT Yield"/>
    <s v="Absent"/>
  </r>
  <r>
    <n v="21"/>
    <n v="1"/>
    <x v="36"/>
    <x v="3"/>
    <s v="Test Product Engineering"/>
    <s v="Percival Napao"/>
    <x v="5"/>
    <s v="Setup Fail LRR"/>
    <s v="Probe Utilization (hrs/day)"/>
    <s v="Absent"/>
  </r>
  <r>
    <n v="22"/>
    <n v="1"/>
    <x v="37"/>
    <x v="3"/>
    <s v="BU Product Engineering"/>
    <s v="Bernadette Calatin / Romeo Dela Rosa"/>
    <x v="6"/>
    <m/>
    <m/>
    <s v="Absent"/>
  </r>
  <r>
    <n v="23"/>
    <n v="1"/>
    <x v="38"/>
    <x v="3"/>
    <s v="BU Product Engineering"/>
    <s v="Jaymar Asuncion / Romeo Dela Rosa"/>
    <x v="15"/>
    <s v="662A5 First pass yield"/>
    <s v="HPMCU FT Yield"/>
    <s v="Absen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023E15-6BD3-4E39-BF0F-82DD212CFA82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D41" firstHeaderRow="2" firstDataRow="2" firstDataCol="3"/>
  <pivotFields count="10">
    <pivotField compact="0" outline="0" showAll="0"/>
    <pivotField dataField="1" compact="0" outline="0" showAll="0"/>
    <pivotField axis="axisRow" compact="0" outline="0" showAll="0" defaultSubtotal="0">
      <items count="39">
        <item x="21"/>
        <item x="29"/>
        <item x="24"/>
        <item x="7"/>
        <item x="31"/>
        <item x="16"/>
        <item x="27"/>
        <item x="14"/>
        <item x="3"/>
        <item x="15"/>
        <item x="18"/>
        <item x="33"/>
        <item x="32"/>
        <item x="34"/>
        <item x="1"/>
        <item x="4"/>
        <item x="2"/>
        <item x="17"/>
        <item x="11"/>
        <item x="23"/>
        <item x="28"/>
        <item x="0"/>
        <item x="26"/>
        <item x="12"/>
        <item x="25"/>
        <item x="10"/>
        <item x="19"/>
        <item x="13"/>
        <item x="5"/>
        <item x="30"/>
        <item x="22"/>
        <item x="9"/>
        <item x="38"/>
        <item x="8"/>
        <item x="20"/>
        <item x="36"/>
        <item x="6"/>
        <item x="35"/>
        <item x="37"/>
      </items>
    </pivotField>
    <pivotField axis="axisRow" compact="0" outline="0" showAll="0">
      <items count="5">
        <item x="1"/>
        <item x="3"/>
        <item x="2"/>
        <item x="0"/>
        <item t="default"/>
      </items>
    </pivotField>
    <pivotField compact="0" outline="0" showAll="0"/>
    <pivotField compact="0" outline="0" showAll="0"/>
    <pivotField axis="axisRow" compact="0" outline="0" showAll="0" defaultSubtotal="0">
      <items count="20">
        <item x="15"/>
        <item x="13"/>
        <item m="1" x="18"/>
        <item x="11"/>
        <item m="1" x="19"/>
        <item x="5"/>
        <item x="4"/>
        <item x="14"/>
        <item x="10"/>
        <item h="1" x="6"/>
        <item x="1"/>
        <item x="9"/>
        <item m="1" x="16"/>
        <item x="8"/>
        <item x="2"/>
        <item x="3"/>
        <item m="1" x="17"/>
        <item x="0"/>
        <item h="1" x="12"/>
        <item x="7"/>
      </items>
    </pivotField>
    <pivotField compact="0" outline="0" showAll="0"/>
    <pivotField compact="0" outline="0" showAll="0"/>
    <pivotField compact="0" outline="0" showAll="0"/>
  </pivotFields>
  <rowFields count="3">
    <field x="6"/>
    <field x="2"/>
    <field x="3"/>
  </rowFields>
  <rowItems count="37">
    <i>
      <x/>
      <x v="32"/>
      <x v="1"/>
    </i>
    <i r="1">
      <x v="37"/>
      <x v="1"/>
    </i>
    <i>
      <x v="1"/>
      <x/>
      <x v="1"/>
    </i>
    <i r="1">
      <x v="17"/>
      <x v="1"/>
    </i>
    <i r="1">
      <x v="34"/>
      <x v="1"/>
    </i>
    <i>
      <x v="3"/>
      <x v="24"/>
      <x v="1"/>
    </i>
    <i r="1">
      <x v="27"/>
      <x/>
    </i>
    <i r="1">
      <x v="29"/>
      <x v="1"/>
    </i>
    <i>
      <x v="5"/>
      <x v="7"/>
      <x/>
    </i>
    <i r="1">
      <x v="28"/>
      <x v="3"/>
    </i>
    <i r="1">
      <x v="35"/>
      <x v="1"/>
    </i>
    <i>
      <x v="6"/>
      <x v="15"/>
      <x v="3"/>
    </i>
    <i r="1">
      <x v="33"/>
      <x v="3"/>
    </i>
    <i>
      <x v="7"/>
      <x v="10"/>
      <x v="1"/>
    </i>
    <i r="1">
      <x v="13"/>
      <x v="1"/>
    </i>
    <i r="1">
      <x v="26"/>
      <x v="1"/>
    </i>
    <i>
      <x v="8"/>
      <x v="11"/>
      <x v="1"/>
    </i>
    <i r="1">
      <x v="20"/>
      <x v="1"/>
    </i>
    <i r="1">
      <x v="23"/>
      <x/>
    </i>
    <i>
      <x v="10"/>
      <x v="1"/>
      <x v="1"/>
    </i>
    <i r="1">
      <x v="14"/>
      <x v="3"/>
    </i>
    <i r="1">
      <x v="31"/>
      <x/>
    </i>
    <i>
      <x v="11"/>
      <x v="4"/>
      <x v="1"/>
    </i>
    <i r="1">
      <x v="12"/>
      <x v="1"/>
    </i>
    <i r="1">
      <x v="18"/>
      <x/>
    </i>
    <i>
      <x v="13"/>
      <x v="25"/>
      <x/>
    </i>
    <i>
      <x v="14"/>
      <x v="16"/>
      <x v="3"/>
    </i>
    <i r="1">
      <x v="22"/>
      <x v="1"/>
    </i>
    <i>
      <x v="15"/>
      <x v="2"/>
      <x v="1"/>
    </i>
    <i r="1">
      <x v="8"/>
      <x v="3"/>
    </i>
    <i r="1">
      <x v="19"/>
      <x v="1"/>
    </i>
    <i>
      <x v="17"/>
      <x v="5"/>
      <x v="1"/>
    </i>
    <i r="1">
      <x v="6"/>
      <x v="1"/>
    </i>
    <i r="1">
      <x v="21"/>
      <x v="3"/>
    </i>
    <i>
      <x v="19"/>
      <x v="3"/>
      <x v="3"/>
    </i>
    <i r="1">
      <x v="30"/>
      <x v="1"/>
    </i>
    <i t="grand">
      <x/>
    </i>
  </rowItems>
  <colItems count="1">
    <i/>
  </colItems>
  <dataFields count="1">
    <dataField name="Sum of Count" fld="1" baseField="0" baseItem="0"/>
  </dataFields>
  <formats count="209">
    <format dxfId="208">
      <pivotArea dataOnly="0" labelOnly="1" outline="0" fieldPosition="0">
        <references count="1">
          <reference field="6" count="0"/>
        </references>
      </pivotArea>
    </format>
    <format dxfId="207">
      <pivotArea dataOnly="0" labelOnly="1" outline="0" fieldPosition="0">
        <references count="2">
          <reference field="2" count="1">
            <x v="18"/>
          </reference>
          <reference field="6" count="1" selected="0">
            <x v="2"/>
          </reference>
        </references>
      </pivotArea>
    </format>
    <format dxfId="206">
      <pivotArea dataOnly="0" labelOnly="1" outline="0" fieldPosition="0">
        <references count="2">
          <reference field="2" count="4">
            <x v="5"/>
            <x v="6"/>
            <x v="21"/>
            <x v="33"/>
          </reference>
          <reference field="6" count="1" selected="0">
            <x v="4"/>
          </reference>
        </references>
      </pivotArea>
    </format>
    <format dxfId="205">
      <pivotArea dataOnly="0" labelOnly="1" outline="0" fieldPosition="0">
        <references count="2">
          <reference field="2" count="1">
            <x v="15"/>
          </reference>
          <reference field="6" count="1" selected="0">
            <x v="6"/>
          </reference>
        </references>
      </pivotArea>
    </format>
    <format dxfId="204">
      <pivotArea dataOnly="0" labelOnly="1" outline="0" fieldPosition="0">
        <references count="2">
          <reference field="2" count="1">
            <x v="25"/>
          </reference>
          <reference field="6" count="1" selected="0">
            <x v="13"/>
          </reference>
        </references>
      </pivotArea>
    </format>
    <format dxfId="203">
      <pivotArea dataOnly="0" labelOnly="1" outline="0" fieldPosition="0">
        <references count="2">
          <reference field="2" count="2">
            <x v="9"/>
            <x v="22"/>
          </reference>
          <reference field="6" count="1" selected="0">
            <x v="14"/>
          </reference>
        </references>
      </pivotArea>
    </format>
    <format dxfId="202">
      <pivotArea dataOnly="0" labelOnly="1" outline="0" fieldPosition="0">
        <references count="2">
          <reference field="2" count="3">
            <x v="8"/>
            <x v="16"/>
            <x v="17"/>
          </reference>
          <reference field="6" count="1" selected="0">
            <x v="16"/>
          </reference>
        </references>
      </pivotArea>
    </format>
    <format dxfId="201">
      <pivotArea outline="0" fieldPosition="0">
        <references count="1">
          <reference field="6" count="1" selected="0">
            <x v="6"/>
          </reference>
        </references>
      </pivotArea>
    </format>
    <format dxfId="200">
      <pivotArea dataOnly="0" labelOnly="1" outline="0" fieldPosition="0">
        <references count="1">
          <reference field="6" count="1">
            <x v="6"/>
          </reference>
        </references>
      </pivotArea>
    </format>
    <format dxfId="199">
      <pivotArea outline="0" fieldPosition="0">
        <references count="1">
          <reference field="6" count="1" selected="0">
            <x v="13"/>
          </reference>
        </references>
      </pivotArea>
    </format>
    <format dxfId="198">
      <pivotArea dataOnly="0" labelOnly="1" outline="0" fieldPosition="0">
        <references count="1">
          <reference field="6" count="1">
            <x v="13"/>
          </reference>
        </references>
      </pivotArea>
    </format>
    <format dxfId="197">
      <pivotArea dataOnly="0" labelOnly="1" outline="0" fieldPosition="0">
        <references count="2">
          <reference field="2" count="1">
            <x v="15"/>
          </reference>
          <reference field="6" count="1" selected="0">
            <x v="6"/>
          </reference>
        </references>
      </pivotArea>
    </format>
    <format dxfId="196">
      <pivotArea outline="0" fieldPosition="0">
        <references count="2">
          <reference field="2" count="1" selected="0">
            <x v="25"/>
          </reference>
          <reference field="6" count="1" selected="0">
            <x v="13"/>
          </reference>
        </references>
      </pivotArea>
    </format>
    <format dxfId="195">
      <pivotArea dataOnly="0" labelOnly="1" outline="0" fieldPosition="0">
        <references count="2">
          <reference field="2" count="1">
            <x v="25"/>
          </reference>
          <reference field="6" count="1" selected="0">
            <x v="13"/>
          </reference>
        </references>
      </pivotArea>
    </format>
    <format dxfId="194">
      <pivotArea outline="0" fieldPosition="0">
        <references count="2">
          <reference field="2" count="2" selected="0">
            <x v="8"/>
            <x v="33"/>
          </reference>
          <reference field="6" count="1" selected="0">
            <x v="16"/>
          </reference>
        </references>
      </pivotArea>
    </format>
    <format dxfId="193">
      <pivotArea outline="0" collapsedLevelsAreSubtotals="1" fieldPosition="0"/>
    </format>
    <format dxfId="192">
      <pivotArea dataOnly="0" labelOnly="1" outline="0" fieldPosition="0">
        <references count="1">
          <reference field="6" count="0"/>
        </references>
      </pivotArea>
    </format>
    <format dxfId="191">
      <pivotArea dataOnly="0" labelOnly="1" grandRow="1" outline="0" fieldPosition="0"/>
    </format>
    <format dxfId="190">
      <pivotArea dataOnly="0" labelOnly="1" outline="0" fieldPosition="0">
        <references count="2">
          <reference field="2" count="2">
            <x v="32"/>
            <x v="37"/>
          </reference>
          <reference field="6" count="1" selected="0">
            <x v="0"/>
          </reference>
        </references>
      </pivotArea>
    </format>
    <format dxfId="189">
      <pivotArea dataOnly="0" labelOnly="1" outline="0" fieldPosition="0">
        <references count="2">
          <reference field="2" count="3">
            <x v="0"/>
            <x v="17"/>
            <x v="34"/>
          </reference>
          <reference field="6" count="1" selected="0">
            <x v="1"/>
          </reference>
        </references>
      </pivotArea>
    </format>
    <format dxfId="188">
      <pivotArea dataOnly="0" labelOnly="1" outline="0" fieldPosition="0">
        <references count="2">
          <reference field="2" count="3">
            <x v="24"/>
            <x v="27"/>
            <x v="29"/>
          </reference>
          <reference field="6" count="1" selected="0">
            <x v="3"/>
          </reference>
        </references>
      </pivotArea>
    </format>
    <format dxfId="187">
      <pivotArea dataOnly="0" labelOnly="1" outline="0" fieldPosition="0">
        <references count="2">
          <reference field="2" count="3">
            <x v="7"/>
            <x v="28"/>
            <x v="35"/>
          </reference>
          <reference field="6" count="1" selected="0">
            <x v="5"/>
          </reference>
        </references>
      </pivotArea>
    </format>
    <format dxfId="186">
      <pivotArea dataOnly="0" labelOnly="1" outline="0" fieldPosition="0">
        <references count="2">
          <reference field="2" count="1">
            <x v="15"/>
          </reference>
          <reference field="6" count="1" selected="0">
            <x v="6"/>
          </reference>
        </references>
      </pivotArea>
    </format>
    <format dxfId="185">
      <pivotArea dataOnly="0" labelOnly="1" outline="0" fieldPosition="0">
        <references count="2">
          <reference field="2" count="3">
            <x v="10"/>
            <x v="13"/>
            <x v="26"/>
          </reference>
          <reference field="6" count="1" selected="0">
            <x v="7"/>
          </reference>
        </references>
      </pivotArea>
    </format>
    <format dxfId="184">
      <pivotArea dataOnly="0" labelOnly="1" outline="0" fieldPosition="0">
        <references count="2">
          <reference field="2" count="3">
            <x v="11"/>
            <x v="20"/>
            <x v="23"/>
          </reference>
          <reference field="6" count="1" selected="0">
            <x v="8"/>
          </reference>
        </references>
      </pivotArea>
    </format>
    <format dxfId="183">
      <pivotArea dataOnly="0" labelOnly="1" outline="0" fieldPosition="0">
        <references count="2">
          <reference field="2" count="2">
            <x v="36"/>
            <x v="38"/>
          </reference>
          <reference field="6" count="1" selected="0">
            <x v="9"/>
          </reference>
        </references>
      </pivotArea>
    </format>
    <format dxfId="182">
      <pivotArea dataOnly="0" labelOnly="1" outline="0" fieldPosition="0">
        <references count="2">
          <reference field="2" count="3">
            <x v="1"/>
            <x v="14"/>
            <x v="31"/>
          </reference>
          <reference field="6" count="1" selected="0">
            <x v="10"/>
          </reference>
        </references>
      </pivotArea>
    </format>
    <format dxfId="181">
      <pivotArea dataOnly="0" labelOnly="1" outline="0" fieldPosition="0">
        <references count="2">
          <reference field="2" count="3">
            <x v="4"/>
            <x v="12"/>
            <x v="18"/>
          </reference>
          <reference field="6" count="1" selected="0">
            <x v="11"/>
          </reference>
        </references>
      </pivotArea>
    </format>
    <format dxfId="180">
      <pivotArea dataOnly="0" labelOnly="1" outline="0" fieldPosition="0">
        <references count="2">
          <reference field="2" count="2">
            <x v="3"/>
            <x v="30"/>
          </reference>
          <reference field="6" count="1" selected="0">
            <x v="12"/>
          </reference>
        </references>
      </pivotArea>
    </format>
    <format dxfId="179">
      <pivotArea dataOnly="0" labelOnly="1" outline="0" fieldPosition="0">
        <references count="2">
          <reference field="2" count="1">
            <x v="25"/>
          </reference>
          <reference field="6" count="1" selected="0">
            <x v="13"/>
          </reference>
        </references>
      </pivotArea>
    </format>
    <format dxfId="178">
      <pivotArea dataOnly="0" labelOnly="1" outline="0" fieldPosition="0">
        <references count="2">
          <reference field="2" count="2">
            <x v="16"/>
            <x v="22"/>
          </reference>
          <reference field="6" count="1" selected="0">
            <x v="14"/>
          </reference>
        </references>
      </pivotArea>
    </format>
    <format dxfId="177">
      <pivotArea dataOnly="0" labelOnly="1" outline="0" fieldPosition="0">
        <references count="2">
          <reference field="2" count="2">
            <x v="2"/>
            <x v="19"/>
          </reference>
          <reference field="6" count="1" selected="0">
            <x v="15"/>
          </reference>
        </references>
      </pivotArea>
    </format>
    <format dxfId="176">
      <pivotArea dataOnly="0" labelOnly="1" outline="0" fieldPosition="0">
        <references count="2">
          <reference field="2" count="2">
            <x v="8"/>
            <x v="33"/>
          </reference>
          <reference field="6" count="1" selected="0">
            <x v="16"/>
          </reference>
        </references>
      </pivotArea>
    </format>
    <format dxfId="175">
      <pivotArea dataOnly="0" labelOnly="1" outline="0" fieldPosition="0">
        <references count="2">
          <reference field="2" count="3">
            <x v="5"/>
            <x v="6"/>
            <x v="21"/>
          </reference>
          <reference field="6" count="1" selected="0">
            <x v="17"/>
          </reference>
        </references>
      </pivotArea>
    </format>
    <format dxfId="174">
      <pivotArea dataOnly="0" labelOnly="1" outline="0" fieldPosition="0">
        <references count="2">
          <reference field="2" count="1">
            <x v="9"/>
          </reference>
          <reference field="6" count="1" selected="0">
            <x v="18"/>
          </reference>
        </references>
      </pivotArea>
    </format>
    <format dxfId="173">
      <pivotArea outline="0" fieldPosition="0">
        <references count="2">
          <reference field="2" count="2" selected="0">
            <x v="8"/>
            <x v="33"/>
          </reference>
          <reference field="6" count="1" selected="0">
            <x v="16"/>
          </reference>
        </references>
      </pivotArea>
    </format>
    <format dxfId="172">
      <pivotArea dataOnly="0" labelOnly="1" outline="0" fieldPosition="0">
        <references count="1">
          <reference field="6" count="1">
            <x v="16"/>
          </reference>
        </references>
      </pivotArea>
    </format>
    <format dxfId="171">
      <pivotArea dataOnly="0" labelOnly="1" outline="0" fieldPosition="0">
        <references count="2">
          <reference field="2" count="2">
            <x v="8"/>
            <x v="33"/>
          </reference>
          <reference field="6" count="1" selected="0">
            <x v="16"/>
          </reference>
        </references>
      </pivotArea>
    </format>
    <format dxfId="170">
      <pivotArea outline="0" fieldPosition="0">
        <references count="2">
          <reference field="2" count="2" selected="0">
            <x v="36"/>
            <x v="38"/>
          </reference>
          <reference field="6" count="1" selected="0">
            <x v="9"/>
          </reference>
        </references>
      </pivotArea>
    </format>
    <format dxfId="169">
      <pivotArea dataOnly="0" labelOnly="1" outline="0" fieldPosition="0">
        <references count="1">
          <reference field="6" count="1">
            <x v="9"/>
          </reference>
        </references>
      </pivotArea>
    </format>
    <format dxfId="168">
      <pivotArea dataOnly="0" labelOnly="1" outline="0" fieldPosition="0">
        <references count="2">
          <reference field="2" count="2">
            <x v="36"/>
            <x v="38"/>
          </reference>
          <reference field="6" count="1" selected="0">
            <x v="9"/>
          </reference>
        </references>
      </pivotArea>
    </format>
    <format dxfId="167">
      <pivotArea outline="0" fieldPosition="0">
        <references count="2">
          <reference field="2" count="2" selected="0">
            <x v="36"/>
            <x v="38"/>
          </reference>
          <reference field="6" count="1" selected="0">
            <x v="9"/>
          </reference>
        </references>
      </pivotArea>
    </format>
    <format dxfId="166">
      <pivotArea dataOnly="0" labelOnly="1" outline="0" fieldPosition="0">
        <references count="1">
          <reference field="6" count="1">
            <x v="9"/>
          </reference>
        </references>
      </pivotArea>
    </format>
    <format dxfId="165">
      <pivotArea dataOnly="0" labelOnly="1" outline="0" fieldPosition="0">
        <references count="2">
          <reference field="2" count="2">
            <x v="36"/>
            <x v="38"/>
          </reference>
          <reference field="6" count="1" selected="0">
            <x v="9"/>
          </reference>
        </references>
      </pivotArea>
    </format>
    <format dxfId="164">
      <pivotArea outline="0" fieldPosition="0">
        <references count="2">
          <reference field="2" count="2" selected="0">
            <x v="36"/>
            <x v="38"/>
          </reference>
          <reference field="6" count="1" selected="0">
            <x v="9"/>
          </reference>
        </references>
      </pivotArea>
    </format>
    <format dxfId="163">
      <pivotArea dataOnly="0" labelOnly="1" outline="0" fieldPosition="0">
        <references count="1">
          <reference field="6" count="1">
            <x v="9"/>
          </reference>
        </references>
      </pivotArea>
    </format>
    <format dxfId="162">
      <pivotArea dataOnly="0" labelOnly="1" outline="0" fieldPosition="0">
        <references count="2">
          <reference field="2" count="2">
            <x v="36"/>
            <x v="38"/>
          </reference>
          <reference field="6" count="1" selected="0">
            <x v="9"/>
          </reference>
        </references>
      </pivotArea>
    </format>
    <format dxfId="161">
      <pivotArea dataOnly="0" labelOnly="1" outline="0" offset="IV2:IV256" fieldPosition="0">
        <references count="1">
          <reference field="6" count="1">
            <x v="11"/>
          </reference>
        </references>
      </pivotArea>
    </format>
    <format dxfId="160">
      <pivotArea dataOnly="0" labelOnly="1" outline="0" offset="IV2:IV256" fieldPosition="0">
        <references count="1">
          <reference field="6" count="1">
            <x v="1"/>
          </reference>
        </references>
      </pivotArea>
    </format>
    <format dxfId="159">
      <pivotArea outline="0" fieldPosition="0">
        <references count="2">
          <reference field="2" count="3" selected="0">
            <x v="4"/>
            <x v="12"/>
            <x v="18"/>
          </reference>
          <reference field="6" count="1" selected="0">
            <x v="11"/>
          </reference>
        </references>
      </pivotArea>
    </format>
    <format dxfId="158">
      <pivotArea dataOnly="0" labelOnly="1" outline="0" fieldPosition="0">
        <references count="1">
          <reference field="6" count="1">
            <x v="11"/>
          </reference>
        </references>
      </pivotArea>
    </format>
    <format dxfId="157">
      <pivotArea dataOnly="0" labelOnly="1" outline="0" fieldPosition="0">
        <references count="2">
          <reference field="2" count="3">
            <x v="4"/>
            <x v="12"/>
            <x v="18"/>
          </reference>
          <reference field="6" count="1" selected="0">
            <x v="11"/>
          </reference>
        </references>
      </pivotArea>
    </format>
    <format dxfId="156">
      <pivotArea outline="0" fieldPosition="0">
        <references count="2">
          <reference field="2" count="7" selected="0">
            <x v="0"/>
            <x v="4"/>
            <x v="12"/>
            <x v="17"/>
            <x v="18"/>
            <x v="33"/>
            <x v="34"/>
          </reference>
          <reference field="6" count="0" selected="0"/>
        </references>
      </pivotArea>
    </format>
    <format dxfId="155">
      <pivotArea dataOnly="0" labelOnly="1" outline="0" fieldPosition="0">
        <references count="2">
          <reference field="2" count="4">
            <x v="0"/>
            <x v="17"/>
            <x v="33"/>
            <x v="34"/>
          </reference>
          <reference field="6" count="1" selected="0">
            <x v="1"/>
          </reference>
        </references>
      </pivotArea>
    </format>
    <format dxfId="154">
      <pivotArea dataOnly="0" labelOnly="1" outline="0" fieldPosition="0">
        <references count="2">
          <reference field="2" count="3">
            <x v="4"/>
            <x v="12"/>
            <x v="18"/>
          </reference>
          <reference field="6" count="1" selected="0">
            <x v="11"/>
          </reference>
        </references>
      </pivotArea>
    </format>
    <format dxfId="153">
      <pivotArea dataOnly="0" labelOnly="1" outline="0" offset="IV2" fieldPosition="0">
        <references count="1">
          <reference field="6" count="1">
            <x v="1"/>
          </reference>
        </references>
      </pivotArea>
    </format>
    <format dxfId="152">
      <pivotArea dataOnly="0" labelOnly="1" outline="0" offset="IV2" fieldPosition="0">
        <references count="1">
          <reference field="6" count="1">
            <x v="11"/>
          </reference>
        </references>
      </pivotArea>
    </format>
    <format dxfId="151">
      <pivotArea dataOnly="0" labelOnly="1" outline="0" fieldPosition="0">
        <references count="1">
          <reference field="6" count="0"/>
        </references>
      </pivotArea>
    </format>
    <format dxfId="150">
      <pivotArea outline="0" fieldPosition="0">
        <references count="2">
          <reference field="2" count="19" selected="0">
            <x v="0"/>
            <x v="7"/>
            <x v="10"/>
            <x v="11"/>
            <x v="13"/>
            <x v="15"/>
            <x v="17"/>
            <x v="20"/>
            <x v="23"/>
            <x v="24"/>
            <x v="26"/>
            <x v="27"/>
            <x v="28"/>
            <x v="29"/>
            <x v="32"/>
            <x v="33"/>
            <x v="34"/>
            <x v="35"/>
            <x v="37"/>
          </reference>
          <reference field="6" count="7" selected="0">
            <x v="0"/>
            <x v="1"/>
            <x v="3"/>
            <x v="5"/>
            <x v="6"/>
            <x v="7"/>
            <x v="8"/>
          </reference>
        </references>
      </pivotArea>
    </format>
    <format dxfId="149">
      <pivotArea dataOnly="0" labelOnly="1" outline="0" fieldPosition="0">
        <references count="1">
          <reference field="6" count="7">
            <x v="0"/>
            <x v="1"/>
            <x v="3"/>
            <x v="5"/>
            <x v="6"/>
            <x v="7"/>
            <x v="8"/>
          </reference>
        </references>
      </pivotArea>
    </format>
    <format dxfId="148">
      <pivotArea dataOnly="0" labelOnly="1" outline="0" fieldPosition="0">
        <references count="2">
          <reference field="2" count="2">
            <x v="32"/>
            <x v="37"/>
          </reference>
          <reference field="6" count="1" selected="0">
            <x v="0"/>
          </reference>
        </references>
      </pivotArea>
    </format>
    <format dxfId="147">
      <pivotArea dataOnly="0" labelOnly="1" outline="0" fieldPosition="0">
        <references count="2">
          <reference field="2" count="3">
            <x v="0"/>
            <x v="17"/>
            <x v="34"/>
          </reference>
          <reference field="6" count="1" selected="0">
            <x v="1"/>
          </reference>
        </references>
      </pivotArea>
    </format>
    <format dxfId="146">
      <pivotArea dataOnly="0" labelOnly="1" outline="0" fieldPosition="0">
        <references count="2">
          <reference field="2" count="3">
            <x v="24"/>
            <x v="27"/>
            <x v="29"/>
          </reference>
          <reference field="6" count="1" selected="0">
            <x v="3"/>
          </reference>
        </references>
      </pivotArea>
    </format>
    <format dxfId="145">
      <pivotArea dataOnly="0" labelOnly="1" outline="0" fieldPosition="0">
        <references count="2">
          <reference field="2" count="3">
            <x v="7"/>
            <x v="28"/>
            <x v="35"/>
          </reference>
          <reference field="6" count="1" selected="0">
            <x v="5"/>
          </reference>
        </references>
      </pivotArea>
    </format>
    <format dxfId="144">
      <pivotArea dataOnly="0" labelOnly="1" outline="0" fieldPosition="0">
        <references count="2">
          <reference field="2" count="2">
            <x v="15"/>
            <x v="33"/>
          </reference>
          <reference field="6" count="1" selected="0">
            <x v="6"/>
          </reference>
        </references>
      </pivotArea>
    </format>
    <format dxfId="143">
      <pivotArea dataOnly="0" labelOnly="1" outline="0" fieldPosition="0">
        <references count="2">
          <reference field="2" count="3">
            <x v="10"/>
            <x v="13"/>
            <x v="26"/>
          </reference>
          <reference field="6" count="1" selected="0">
            <x v="7"/>
          </reference>
        </references>
      </pivotArea>
    </format>
    <format dxfId="142">
      <pivotArea dataOnly="0" labelOnly="1" outline="0" fieldPosition="0">
        <references count="2">
          <reference field="2" count="3">
            <x v="11"/>
            <x v="20"/>
            <x v="23"/>
          </reference>
          <reference field="6" count="1" selected="0">
            <x v="8"/>
          </reference>
        </references>
      </pivotArea>
    </format>
    <format dxfId="141">
      <pivotArea outline="0" fieldPosition="0">
        <references count="2">
          <reference field="2" count="18" selected="0">
            <x v="1"/>
            <x v="2"/>
            <x v="3"/>
            <x v="4"/>
            <x v="5"/>
            <x v="6"/>
            <x v="8"/>
            <x v="9"/>
            <x v="12"/>
            <x v="14"/>
            <x v="16"/>
            <x v="18"/>
            <x v="19"/>
            <x v="21"/>
            <x v="22"/>
            <x v="25"/>
            <x v="30"/>
            <x v="31"/>
          </reference>
          <reference field="6" count="8" selected="0">
            <x v="10"/>
            <x v="11"/>
            <x v="12"/>
            <x v="13"/>
            <x v="14"/>
            <x v="15"/>
            <x v="17"/>
            <x v="18"/>
          </reference>
        </references>
      </pivotArea>
    </format>
    <format dxfId="140">
      <pivotArea grandRow="1" outline="0" collapsedLevelsAreSubtotals="1" fieldPosition="0"/>
    </format>
    <format dxfId="139">
      <pivotArea dataOnly="0" labelOnly="1" outline="0" fieldPosition="0">
        <references count="1">
          <reference field="6" count="8">
            <x v="10"/>
            <x v="11"/>
            <x v="12"/>
            <x v="13"/>
            <x v="14"/>
            <x v="15"/>
            <x v="17"/>
            <x v="18"/>
          </reference>
        </references>
      </pivotArea>
    </format>
    <format dxfId="138">
      <pivotArea dataOnly="0" labelOnly="1" grandRow="1" outline="0" fieldPosition="0"/>
    </format>
    <format dxfId="137">
      <pivotArea dataOnly="0" labelOnly="1" outline="0" fieldPosition="0">
        <references count="2">
          <reference field="2" count="3">
            <x v="1"/>
            <x v="14"/>
            <x v="31"/>
          </reference>
          <reference field="6" count="1" selected="0">
            <x v="10"/>
          </reference>
        </references>
      </pivotArea>
    </format>
    <format dxfId="136">
      <pivotArea dataOnly="0" labelOnly="1" outline="0" fieldPosition="0">
        <references count="2">
          <reference field="2" count="3">
            <x v="4"/>
            <x v="12"/>
            <x v="18"/>
          </reference>
          <reference field="6" count="1" selected="0">
            <x v="11"/>
          </reference>
        </references>
      </pivotArea>
    </format>
    <format dxfId="135">
      <pivotArea dataOnly="0" labelOnly="1" outline="0" fieldPosition="0">
        <references count="2">
          <reference field="2" count="2">
            <x v="3"/>
            <x v="30"/>
          </reference>
          <reference field="6" count="1" selected="0">
            <x v="12"/>
          </reference>
        </references>
      </pivotArea>
    </format>
    <format dxfId="134">
      <pivotArea dataOnly="0" labelOnly="1" outline="0" fieldPosition="0">
        <references count="2">
          <reference field="2" count="1">
            <x v="25"/>
          </reference>
          <reference field="6" count="1" selected="0">
            <x v="13"/>
          </reference>
        </references>
      </pivotArea>
    </format>
    <format dxfId="133">
      <pivotArea dataOnly="0" labelOnly="1" outline="0" fieldPosition="0">
        <references count="2">
          <reference field="2" count="2">
            <x v="16"/>
            <x v="22"/>
          </reference>
          <reference field="6" count="1" selected="0">
            <x v="14"/>
          </reference>
        </references>
      </pivotArea>
    </format>
    <format dxfId="132">
      <pivotArea dataOnly="0" labelOnly="1" outline="0" fieldPosition="0">
        <references count="2">
          <reference field="2" count="3">
            <x v="2"/>
            <x v="8"/>
            <x v="19"/>
          </reference>
          <reference field="6" count="1" selected="0">
            <x v="15"/>
          </reference>
        </references>
      </pivotArea>
    </format>
    <format dxfId="131">
      <pivotArea dataOnly="0" labelOnly="1" outline="0" fieldPosition="0">
        <references count="2">
          <reference field="2" count="3">
            <x v="5"/>
            <x v="6"/>
            <x v="21"/>
          </reference>
          <reference field="6" count="1" selected="0">
            <x v="17"/>
          </reference>
        </references>
      </pivotArea>
    </format>
    <format dxfId="130">
      <pivotArea dataOnly="0" labelOnly="1" outline="0" fieldPosition="0">
        <references count="2">
          <reference field="2" count="1">
            <x v="9"/>
          </reference>
          <reference field="6" count="1" selected="0">
            <x v="18"/>
          </reference>
        </references>
      </pivotArea>
    </format>
    <format dxfId="129">
      <pivotArea outline="0" fieldPosition="0">
        <references count="2">
          <reference field="2" count="37" selected="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7"/>
          </reference>
          <reference field="6" count="0" selected="0"/>
        </references>
      </pivotArea>
    </format>
    <format dxfId="128">
      <pivotArea dataOnly="0" labelOnly="1" outline="0" fieldPosition="0">
        <references count="1">
          <reference field="6" count="0"/>
        </references>
      </pivotArea>
    </format>
    <format dxfId="127">
      <pivotArea dataOnly="0" labelOnly="1" outline="0" fieldPosition="0">
        <references count="2">
          <reference field="2" count="3">
            <x v="0"/>
            <x v="17"/>
            <x v="34"/>
          </reference>
          <reference field="6" count="1" selected="0">
            <x v="1"/>
          </reference>
        </references>
      </pivotArea>
    </format>
    <format dxfId="126">
      <pivotArea dataOnly="0" labelOnly="1" outline="0" fieldPosition="0">
        <references count="2">
          <reference field="2" count="3">
            <x v="24"/>
            <x v="27"/>
            <x v="29"/>
          </reference>
          <reference field="6" count="1" selected="0">
            <x v="3"/>
          </reference>
        </references>
      </pivotArea>
    </format>
    <format dxfId="125">
      <pivotArea dataOnly="0" labelOnly="1" outline="0" fieldPosition="0">
        <references count="2">
          <reference field="2" count="3">
            <x v="7"/>
            <x v="28"/>
            <x v="35"/>
          </reference>
          <reference field="6" count="1" selected="0">
            <x v="5"/>
          </reference>
        </references>
      </pivotArea>
    </format>
    <format dxfId="124">
      <pivotArea dataOnly="0" labelOnly="1" outline="0" fieldPosition="0">
        <references count="2">
          <reference field="2" count="2">
            <x v="15"/>
            <x v="33"/>
          </reference>
          <reference field="6" count="1" selected="0">
            <x v="6"/>
          </reference>
        </references>
      </pivotArea>
    </format>
    <format dxfId="123">
      <pivotArea dataOnly="0" labelOnly="1" outline="0" fieldPosition="0">
        <references count="2">
          <reference field="2" count="3">
            <x v="11"/>
            <x v="20"/>
            <x v="23"/>
          </reference>
          <reference field="6" count="1" selected="0">
            <x v="8"/>
          </reference>
        </references>
      </pivotArea>
    </format>
    <format dxfId="122">
      <pivotArea dataOnly="0" labelOnly="1" outline="0" fieldPosition="0">
        <references count="2">
          <reference field="2" count="3">
            <x v="1"/>
            <x v="14"/>
            <x v="31"/>
          </reference>
          <reference field="6" count="1" selected="0">
            <x v="10"/>
          </reference>
        </references>
      </pivotArea>
    </format>
    <format dxfId="121">
      <pivotArea dataOnly="0" labelOnly="1" outline="0" fieldPosition="0">
        <references count="2">
          <reference field="2" count="3">
            <x v="4"/>
            <x v="12"/>
            <x v="18"/>
          </reference>
          <reference field="6" count="1" selected="0">
            <x v="11"/>
          </reference>
        </references>
      </pivotArea>
    </format>
    <format dxfId="120">
      <pivotArea dataOnly="0" labelOnly="1" outline="0" fieldPosition="0">
        <references count="2">
          <reference field="2" count="1">
            <x v="25"/>
          </reference>
          <reference field="6" count="1" selected="0">
            <x v="13"/>
          </reference>
        </references>
      </pivotArea>
    </format>
    <format dxfId="119">
      <pivotArea dataOnly="0" labelOnly="1" outline="0" fieldPosition="0">
        <references count="2">
          <reference field="2" count="2">
            <x v="16"/>
            <x v="22"/>
          </reference>
          <reference field="6" count="1" selected="0">
            <x v="14"/>
          </reference>
        </references>
      </pivotArea>
    </format>
    <format dxfId="118">
      <pivotArea dataOnly="0" labelOnly="1" outline="0" fieldPosition="0">
        <references count="2">
          <reference field="2" count="3">
            <x v="2"/>
            <x v="8"/>
            <x v="19"/>
          </reference>
          <reference field="6" count="1" selected="0">
            <x v="15"/>
          </reference>
        </references>
      </pivotArea>
    </format>
    <format dxfId="117">
      <pivotArea dataOnly="0" labelOnly="1" outline="0" fieldPosition="0">
        <references count="2">
          <reference field="2" count="3">
            <x v="5"/>
            <x v="6"/>
            <x v="21"/>
          </reference>
          <reference field="6" count="1" selected="0">
            <x v="17"/>
          </reference>
        </references>
      </pivotArea>
    </format>
    <format dxfId="116">
      <pivotArea dataOnly="0" labelOnly="1" outline="0" fieldPosition="0">
        <references count="2">
          <reference field="2" count="1">
            <x v="9"/>
          </reference>
          <reference field="6" count="1" selected="0">
            <x v="18"/>
          </reference>
        </references>
      </pivotArea>
    </format>
    <format dxfId="115">
      <pivotArea dataOnly="0" labelOnly="1" outline="0" fieldPosition="0">
        <references count="2">
          <reference field="2" count="2">
            <x v="3"/>
            <x v="30"/>
          </reference>
          <reference field="6" count="1" selected="0">
            <x v="19"/>
          </reference>
        </references>
      </pivotArea>
    </format>
    <format dxfId="114">
      <pivotArea outline="0" fieldPosition="0">
        <references count="2">
          <reference field="2" count="2" selected="0">
            <x v="32"/>
            <x v="37"/>
          </reference>
          <reference field="6" count="1" selected="0">
            <x v="0"/>
          </reference>
        </references>
      </pivotArea>
    </format>
    <format dxfId="113">
      <pivotArea dataOnly="0" labelOnly="1" outline="0" fieldPosition="0">
        <references count="1">
          <reference field="6" count="1">
            <x v="0"/>
          </reference>
        </references>
      </pivotArea>
    </format>
    <format dxfId="112">
      <pivotArea dataOnly="0" labelOnly="1" outline="0" fieldPosition="0">
        <references count="2">
          <reference field="2" count="2">
            <x v="32"/>
            <x v="37"/>
          </reference>
          <reference field="6" count="1" selected="0">
            <x v="0"/>
          </reference>
        </references>
      </pivotArea>
    </format>
    <format dxfId="111">
      <pivotArea outline="0" fieldPosition="0">
        <references count="2">
          <reference field="2" count="3" selected="0">
            <x v="0"/>
            <x v="17"/>
            <x v="34"/>
          </reference>
          <reference field="6" count="1" selected="0">
            <x v="1"/>
          </reference>
        </references>
      </pivotArea>
    </format>
    <format dxfId="110">
      <pivotArea dataOnly="0" labelOnly="1" outline="0" fieldPosition="0">
        <references count="1">
          <reference field="6" count="1">
            <x v="1"/>
          </reference>
        </references>
      </pivotArea>
    </format>
    <format dxfId="109">
      <pivotArea dataOnly="0" labelOnly="1" outline="0" fieldPosition="0">
        <references count="2">
          <reference field="2" count="3">
            <x v="0"/>
            <x v="17"/>
            <x v="34"/>
          </reference>
          <reference field="6" count="1" selected="0">
            <x v="1"/>
          </reference>
        </references>
      </pivotArea>
    </format>
    <format dxfId="108">
      <pivotArea outline="0" fieldPosition="0">
        <references count="2">
          <reference field="2" count="3" selected="0">
            <x v="24"/>
            <x v="27"/>
            <x v="29"/>
          </reference>
          <reference field="6" count="1" selected="0">
            <x v="3"/>
          </reference>
        </references>
      </pivotArea>
    </format>
    <format dxfId="107">
      <pivotArea dataOnly="0" labelOnly="1" outline="0" fieldPosition="0">
        <references count="1">
          <reference field="6" count="1">
            <x v="3"/>
          </reference>
        </references>
      </pivotArea>
    </format>
    <format dxfId="106">
      <pivotArea dataOnly="0" labelOnly="1" outline="0" fieldPosition="0">
        <references count="2">
          <reference field="2" count="3">
            <x v="24"/>
            <x v="27"/>
            <x v="29"/>
          </reference>
          <reference field="6" count="1" selected="0">
            <x v="3"/>
          </reference>
        </references>
      </pivotArea>
    </format>
    <format dxfId="105">
      <pivotArea outline="0" fieldPosition="0">
        <references count="2">
          <reference field="2" count="3" selected="0">
            <x v="10"/>
            <x v="13"/>
            <x v="26"/>
          </reference>
          <reference field="6" count="1" selected="0">
            <x v="7"/>
          </reference>
        </references>
      </pivotArea>
    </format>
    <format dxfId="104">
      <pivotArea dataOnly="0" labelOnly="1" outline="0" fieldPosition="0">
        <references count="1">
          <reference field="6" count="1">
            <x v="7"/>
          </reference>
        </references>
      </pivotArea>
    </format>
    <format dxfId="103">
      <pivotArea dataOnly="0" labelOnly="1" outline="0" fieldPosition="0">
        <references count="2">
          <reference field="2" count="3">
            <x v="10"/>
            <x v="13"/>
            <x v="26"/>
          </reference>
          <reference field="6" count="1" selected="0">
            <x v="7"/>
          </reference>
        </references>
      </pivotArea>
    </format>
    <format dxfId="102">
      <pivotArea outline="0" fieldPosition="0">
        <references count="2">
          <reference field="2" count="3" selected="0">
            <x v="11"/>
            <x v="20"/>
            <x v="23"/>
          </reference>
          <reference field="6" count="1" selected="0">
            <x v="8"/>
          </reference>
        </references>
      </pivotArea>
    </format>
    <format dxfId="101">
      <pivotArea dataOnly="0" labelOnly="1" outline="0" fieldPosition="0">
        <references count="1">
          <reference field="6" count="1">
            <x v="8"/>
          </reference>
        </references>
      </pivotArea>
    </format>
    <format dxfId="100">
      <pivotArea dataOnly="0" labelOnly="1" outline="0" fieldPosition="0">
        <references count="2">
          <reference field="2" count="3">
            <x v="11"/>
            <x v="20"/>
            <x v="23"/>
          </reference>
          <reference field="6" count="1" selected="0">
            <x v="8"/>
          </reference>
        </references>
      </pivotArea>
    </format>
    <format dxfId="99">
      <pivotArea outline="0" fieldPosition="0">
        <references count="2">
          <reference field="2" count="3" selected="0">
            <x v="1"/>
            <x v="14"/>
            <x v="31"/>
          </reference>
          <reference field="6" count="1" selected="0">
            <x v="10"/>
          </reference>
        </references>
      </pivotArea>
    </format>
    <format dxfId="98">
      <pivotArea dataOnly="0" labelOnly="1" outline="0" fieldPosition="0">
        <references count="1">
          <reference field="6" count="1">
            <x v="10"/>
          </reference>
        </references>
      </pivotArea>
    </format>
    <format dxfId="97">
      <pivotArea dataOnly="0" labelOnly="1" outline="0" fieldPosition="0">
        <references count="2">
          <reference field="2" count="3">
            <x v="1"/>
            <x v="14"/>
            <x v="31"/>
          </reference>
          <reference field="6" count="1" selected="0">
            <x v="10"/>
          </reference>
        </references>
      </pivotArea>
    </format>
    <format dxfId="96">
      <pivotArea outline="0" fieldPosition="0">
        <references count="2">
          <reference field="2" count="3" selected="0">
            <x v="4"/>
            <x v="12"/>
            <x v="18"/>
          </reference>
          <reference field="6" count="1" selected="0">
            <x v="11"/>
          </reference>
        </references>
      </pivotArea>
    </format>
    <format dxfId="95">
      <pivotArea dataOnly="0" labelOnly="1" outline="0" fieldPosition="0">
        <references count="1">
          <reference field="6" count="1">
            <x v="11"/>
          </reference>
        </references>
      </pivotArea>
    </format>
    <format dxfId="94">
      <pivotArea dataOnly="0" labelOnly="1" outline="0" fieldPosition="0">
        <references count="2">
          <reference field="2" count="3">
            <x v="4"/>
            <x v="12"/>
            <x v="18"/>
          </reference>
          <reference field="6" count="1" selected="0">
            <x v="11"/>
          </reference>
        </references>
      </pivotArea>
    </format>
    <format dxfId="93">
      <pivotArea outline="0" fieldPosition="0">
        <references count="2">
          <reference field="2" count="1" selected="0">
            <x v="25"/>
          </reference>
          <reference field="6" count="1" selected="0">
            <x v="13"/>
          </reference>
        </references>
      </pivotArea>
    </format>
    <format dxfId="92">
      <pivotArea dataOnly="0" labelOnly="1" outline="0" fieldPosition="0">
        <references count="1">
          <reference field="6" count="1">
            <x v="13"/>
          </reference>
        </references>
      </pivotArea>
    </format>
    <format dxfId="91">
      <pivotArea dataOnly="0" labelOnly="1" outline="0" fieldPosition="0">
        <references count="2">
          <reference field="2" count="1">
            <x v="25"/>
          </reference>
          <reference field="6" count="1" selected="0">
            <x v="13"/>
          </reference>
        </references>
      </pivotArea>
    </format>
    <format dxfId="90">
      <pivotArea outline="0" fieldPosition="0">
        <references count="2">
          <reference field="2" count="2" selected="0">
            <x v="16"/>
            <x v="22"/>
          </reference>
          <reference field="6" count="1" selected="0">
            <x v="14"/>
          </reference>
        </references>
      </pivotArea>
    </format>
    <format dxfId="89">
      <pivotArea dataOnly="0" labelOnly="1" outline="0" fieldPosition="0">
        <references count="1">
          <reference field="6" count="1">
            <x v="14"/>
          </reference>
        </references>
      </pivotArea>
    </format>
    <format dxfId="88">
      <pivotArea dataOnly="0" labelOnly="1" outline="0" fieldPosition="0">
        <references count="2">
          <reference field="2" count="2">
            <x v="16"/>
            <x v="22"/>
          </reference>
          <reference field="6" count="1" selected="0">
            <x v="14"/>
          </reference>
        </references>
      </pivotArea>
    </format>
    <format dxfId="87">
      <pivotArea outline="0" fieldPosition="0">
        <references count="2">
          <reference field="2" count="3" selected="0">
            <x v="2"/>
            <x v="8"/>
            <x v="19"/>
          </reference>
          <reference field="6" count="1" selected="0">
            <x v="15"/>
          </reference>
        </references>
      </pivotArea>
    </format>
    <format dxfId="86">
      <pivotArea dataOnly="0" labelOnly="1" outline="0" fieldPosition="0">
        <references count="1">
          <reference field="6" count="1">
            <x v="15"/>
          </reference>
        </references>
      </pivotArea>
    </format>
    <format dxfId="85">
      <pivotArea dataOnly="0" labelOnly="1" outline="0" fieldPosition="0">
        <references count="2">
          <reference field="2" count="3">
            <x v="2"/>
            <x v="8"/>
            <x v="19"/>
          </reference>
          <reference field="6" count="1" selected="0">
            <x v="15"/>
          </reference>
        </references>
      </pivotArea>
    </format>
    <format dxfId="84">
      <pivotArea outline="0" fieldPosition="0">
        <references count="2">
          <reference field="2" count="3" selected="0">
            <x v="5"/>
            <x v="6"/>
            <x v="21"/>
          </reference>
          <reference field="6" count="1" selected="0">
            <x v="17"/>
          </reference>
        </references>
      </pivotArea>
    </format>
    <format dxfId="83">
      <pivotArea dataOnly="0" labelOnly="1" outline="0" fieldPosition="0">
        <references count="1">
          <reference field="6" count="1">
            <x v="17"/>
          </reference>
        </references>
      </pivotArea>
    </format>
    <format dxfId="82">
      <pivotArea dataOnly="0" labelOnly="1" outline="0" fieldPosition="0">
        <references count="2">
          <reference field="2" count="3">
            <x v="5"/>
            <x v="6"/>
            <x v="21"/>
          </reference>
          <reference field="6" count="1" selected="0">
            <x v="17"/>
          </reference>
        </references>
      </pivotArea>
    </format>
    <format dxfId="81">
      <pivotArea outline="0" fieldPosition="0">
        <references count="2">
          <reference field="2" count="2" selected="0">
            <x v="3"/>
            <x v="30"/>
          </reference>
          <reference field="6" count="1" selected="0">
            <x v="19"/>
          </reference>
        </references>
      </pivotArea>
    </format>
    <format dxfId="80">
      <pivotArea dataOnly="0" labelOnly="1" outline="0" fieldPosition="0">
        <references count="1">
          <reference field="6" count="1">
            <x v="19"/>
          </reference>
        </references>
      </pivotArea>
    </format>
    <format dxfId="79">
      <pivotArea dataOnly="0" labelOnly="1" outline="0" fieldPosition="0">
        <references count="2">
          <reference field="2" count="2">
            <x v="3"/>
            <x v="30"/>
          </reference>
          <reference field="6" count="1" selected="0">
            <x v="19"/>
          </reference>
        </references>
      </pivotArea>
    </format>
    <format dxfId="78">
      <pivotArea dataOnly="0" labelOnly="1" outline="0" fieldPosition="0">
        <references count="2">
          <reference field="2" count="2">
            <x v="32"/>
            <x v="37"/>
          </reference>
          <reference field="6" count="1" selected="0">
            <x v="0"/>
          </reference>
        </references>
      </pivotArea>
    </format>
    <format dxfId="77">
      <pivotArea dataOnly="0" labelOnly="1" outline="0" fieldPosition="0">
        <references count="2">
          <reference field="2" count="3">
            <x v="0"/>
            <x v="17"/>
            <x v="34"/>
          </reference>
          <reference field="6" count="1" selected="0">
            <x v="1"/>
          </reference>
        </references>
      </pivotArea>
    </format>
    <format dxfId="76">
      <pivotArea dataOnly="0" labelOnly="1" outline="0" fieldPosition="0">
        <references count="2">
          <reference field="2" count="3">
            <x v="24"/>
            <x v="27"/>
            <x v="29"/>
          </reference>
          <reference field="6" count="1" selected="0">
            <x v="3"/>
          </reference>
        </references>
      </pivotArea>
    </format>
    <format dxfId="75">
      <pivotArea dataOnly="0" labelOnly="1" outline="0" fieldPosition="0">
        <references count="2">
          <reference field="2" count="3">
            <x v="7"/>
            <x v="28"/>
            <x v="35"/>
          </reference>
          <reference field="6" count="1" selected="0">
            <x v="5"/>
          </reference>
        </references>
      </pivotArea>
    </format>
    <format dxfId="74">
      <pivotArea dataOnly="0" labelOnly="1" outline="0" fieldPosition="0">
        <references count="2">
          <reference field="2" count="2">
            <x v="15"/>
            <x v="33"/>
          </reference>
          <reference field="6" count="1" selected="0">
            <x v="6"/>
          </reference>
        </references>
      </pivotArea>
    </format>
    <format dxfId="73">
      <pivotArea dataOnly="0" labelOnly="1" outline="0" fieldPosition="0">
        <references count="2">
          <reference field="2" count="3">
            <x v="10"/>
            <x v="13"/>
            <x v="26"/>
          </reference>
          <reference field="6" count="1" selected="0">
            <x v="7"/>
          </reference>
        </references>
      </pivotArea>
    </format>
    <format dxfId="72">
      <pivotArea dataOnly="0" labelOnly="1" outline="0" fieldPosition="0">
        <references count="2">
          <reference field="2" count="3">
            <x v="11"/>
            <x v="20"/>
            <x v="23"/>
          </reference>
          <reference field="6" count="1" selected="0">
            <x v="8"/>
          </reference>
        </references>
      </pivotArea>
    </format>
    <format dxfId="71">
      <pivotArea dataOnly="0" labelOnly="1" outline="0" fieldPosition="0">
        <references count="2">
          <reference field="2" count="3">
            <x v="1"/>
            <x v="14"/>
            <x v="31"/>
          </reference>
          <reference field="6" count="1" selected="0">
            <x v="10"/>
          </reference>
        </references>
      </pivotArea>
    </format>
    <format dxfId="70">
      <pivotArea dataOnly="0" labelOnly="1" outline="0" fieldPosition="0">
        <references count="2">
          <reference field="2" count="3">
            <x v="4"/>
            <x v="12"/>
            <x v="18"/>
          </reference>
          <reference field="6" count="1" selected="0">
            <x v="11"/>
          </reference>
        </references>
      </pivotArea>
    </format>
    <format dxfId="69">
      <pivotArea dataOnly="0" labelOnly="1" outline="0" fieldPosition="0">
        <references count="2">
          <reference field="2" count="1">
            <x v="25"/>
          </reference>
          <reference field="6" count="1" selected="0">
            <x v="13"/>
          </reference>
        </references>
      </pivotArea>
    </format>
    <format dxfId="68">
      <pivotArea dataOnly="0" labelOnly="1" outline="0" fieldPosition="0">
        <references count="2">
          <reference field="2" count="2">
            <x v="16"/>
            <x v="22"/>
          </reference>
          <reference field="6" count="1" selected="0">
            <x v="14"/>
          </reference>
        </references>
      </pivotArea>
    </format>
    <format dxfId="67">
      <pivotArea dataOnly="0" labelOnly="1" outline="0" fieldPosition="0">
        <references count="2">
          <reference field="2" count="3">
            <x v="2"/>
            <x v="8"/>
            <x v="19"/>
          </reference>
          <reference field="6" count="1" selected="0">
            <x v="15"/>
          </reference>
        </references>
      </pivotArea>
    </format>
    <format dxfId="66">
      <pivotArea dataOnly="0" labelOnly="1" outline="0" fieldPosition="0">
        <references count="2">
          <reference field="2" count="3">
            <x v="5"/>
            <x v="6"/>
            <x v="21"/>
          </reference>
          <reference field="6" count="1" selected="0">
            <x v="17"/>
          </reference>
        </references>
      </pivotArea>
    </format>
    <format dxfId="65">
      <pivotArea dataOnly="0" labelOnly="1" outline="0" fieldPosition="0">
        <references count="2">
          <reference field="2" count="2">
            <x v="3"/>
            <x v="30"/>
          </reference>
          <reference field="6" count="1" selected="0">
            <x v="19"/>
          </reference>
        </references>
      </pivotArea>
    </format>
    <format dxfId="64">
      <pivotArea outline="0" fieldPosition="0">
        <references count="2">
          <reference field="2" count="36" selected="0">
            <x v="0"/>
            <x v="1"/>
            <x v="2"/>
            <x v="3"/>
            <x v="4"/>
            <x v="5"/>
            <x v="6"/>
            <x v="7"/>
            <x v="8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7"/>
          </reference>
          <reference field="6" count="0" selected="0"/>
        </references>
      </pivotArea>
    </format>
    <format dxfId="63">
      <pivotArea outline="0" fieldPosition="0">
        <references count="3">
          <reference field="2" count="2" selected="0">
            <x v="3"/>
            <x v="30"/>
          </reference>
          <reference field="3" count="2" selected="0">
            <x v="1"/>
            <x v="3"/>
          </reference>
          <reference field="6" count="1" selected="0">
            <x v="19"/>
          </reference>
        </references>
      </pivotArea>
    </format>
    <format dxfId="62">
      <pivotArea dataOnly="0" labelOnly="1" outline="0" fieldPosition="0">
        <references count="2">
          <reference field="2" count="2">
            <x v="3"/>
            <x v="30"/>
          </reference>
          <reference field="6" count="1" selected="0">
            <x v="19"/>
          </reference>
        </references>
      </pivotArea>
    </format>
    <format dxfId="61">
      <pivotArea dataOnly="0" labelOnly="1" outline="0" fieldPosition="0">
        <references count="3">
          <reference field="2" count="1" selected="0">
            <x v="3"/>
          </reference>
          <reference field="3" count="1">
            <x v="3"/>
          </reference>
          <reference field="6" count="1" selected="0">
            <x v="19"/>
          </reference>
        </references>
      </pivotArea>
    </format>
    <format dxfId="60">
      <pivotArea dataOnly="0" labelOnly="1" outline="0" fieldPosition="0">
        <references count="3">
          <reference field="2" count="1" selected="0">
            <x v="30"/>
          </reference>
          <reference field="3" count="1">
            <x v="1"/>
          </reference>
          <reference field="6" count="1" selected="0">
            <x v="19"/>
          </reference>
        </references>
      </pivotArea>
    </format>
    <format dxfId="59">
      <pivotArea outline="0" fieldPosition="0">
        <references count="3">
          <reference field="2" count="3" selected="0">
            <x v="5"/>
            <x v="6"/>
            <x v="21"/>
          </reference>
          <reference field="3" count="2" selected="0">
            <x v="1"/>
            <x v="3"/>
          </reference>
          <reference field="6" count="1" selected="0">
            <x v="17"/>
          </reference>
        </references>
      </pivotArea>
    </format>
    <format dxfId="58">
      <pivotArea dataOnly="0" labelOnly="1" outline="0" fieldPosition="0">
        <references count="2">
          <reference field="2" count="3">
            <x v="5"/>
            <x v="6"/>
            <x v="21"/>
          </reference>
          <reference field="6" count="1" selected="0">
            <x v="17"/>
          </reference>
        </references>
      </pivotArea>
    </format>
    <format dxfId="57">
      <pivotArea outline="0" fieldPosition="0">
        <references count="3">
          <reference field="2" count="3" selected="0">
            <x v="2"/>
            <x v="8"/>
            <x v="19"/>
          </reference>
          <reference field="3" count="2" selected="0">
            <x v="1"/>
            <x v="3"/>
          </reference>
          <reference field="6" count="1" selected="0">
            <x v="15"/>
          </reference>
        </references>
      </pivotArea>
    </format>
    <format dxfId="56">
      <pivotArea dataOnly="0" labelOnly="1" outline="0" fieldPosition="0">
        <references count="2">
          <reference field="2" count="3">
            <x v="2"/>
            <x v="8"/>
            <x v="19"/>
          </reference>
          <reference field="6" count="1" selected="0">
            <x v="15"/>
          </reference>
        </references>
      </pivotArea>
    </format>
    <format dxfId="55">
      <pivotArea outline="0" fieldPosition="0">
        <references count="3">
          <reference field="2" count="2" selected="0">
            <x v="16"/>
            <x v="22"/>
          </reference>
          <reference field="3" count="2" selected="0">
            <x v="1"/>
            <x v="3"/>
          </reference>
          <reference field="6" count="1" selected="0">
            <x v="14"/>
          </reference>
        </references>
      </pivotArea>
    </format>
    <format dxfId="54">
      <pivotArea dataOnly="0" labelOnly="1" outline="0" fieldPosition="0">
        <references count="2">
          <reference field="2" count="2">
            <x v="16"/>
            <x v="22"/>
          </reference>
          <reference field="6" count="1" selected="0">
            <x v="14"/>
          </reference>
        </references>
      </pivotArea>
    </format>
    <format dxfId="53">
      <pivotArea outline="0" fieldPosition="0">
        <references count="3">
          <reference field="2" count="1" selected="0">
            <x v="25"/>
          </reference>
          <reference field="3" count="1" selected="0">
            <x v="0"/>
          </reference>
          <reference field="6" count="1" selected="0">
            <x v="13"/>
          </reference>
        </references>
      </pivotArea>
    </format>
    <format dxfId="52">
      <pivotArea dataOnly="0" labelOnly="1" outline="0" fieldPosition="0">
        <references count="2">
          <reference field="2" count="1">
            <x v="25"/>
          </reference>
          <reference field="6" count="1" selected="0">
            <x v="13"/>
          </reference>
        </references>
      </pivotArea>
    </format>
    <format dxfId="51">
      <pivotArea outline="0" fieldPosition="0">
        <references count="3">
          <reference field="2" count="3" selected="0">
            <x v="4"/>
            <x v="12"/>
            <x v="18"/>
          </reference>
          <reference field="3" count="2" selected="0">
            <x v="0"/>
            <x v="1"/>
          </reference>
          <reference field="6" count="1" selected="0">
            <x v="11"/>
          </reference>
        </references>
      </pivotArea>
    </format>
    <format dxfId="50">
      <pivotArea dataOnly="0" labelOnly="1" outline="0" fieldPosition="0">
        <references count="2">
          <reference field="2" count="3">
            <x v="4"/>
            <x v="12"/>
            <x v="18"/>
          </reference>
          <reference field="6" count="1" selected="0">
            <x v="11"/>
          </reference>
        </references>
      </pivotArea>
    </format>
    <format dxfId="49">
      <pivotArea outline="0" fieldPosition="0">
        <references count="3">
          <reference field="2" count="3" selected="0">
            <x v="1"/>
            <x v="14"/>
            <x v="31"/>
          </reference>
          <reference field="3" count="3" selected="0">
            <x v="0"/>
            <x v="1"/>
            <x v="3"/>
          </reference>
          <reference field="6" count="1" selected="0">
            <x v="10"/>
          </reference>
        </references>
      </pivotArea>
    </format>
    <format dxfId="48">
      <pivotArea dataOnly="0" labelOnly="1" outline="0" fieldPosition="0">
        <references count="2">
          <reference field="2" count="3">
            <x v="1"/>
            <x v="14"/>
            <x v="31"/>
          </reference>
          <reference field="6" count="1" selected="0">
            <x v="10"/>
          </reference>
        </references>
      </pivotArea>
    </format>
    <format dxfId="47">
      <pivotArea outline="0" fieldPosition="0">
        <references count="3">
          <reference field="2" count="3" selected="0">
            <x v="11"/>
            <x v="20"/>
            <x v="23"/>
          </reference>
          <reference field="3" count="2" selected="0">
            <x v="0"/>
            <x v="1"/>
          </reference>
          <reference field="6" count="1" selected="0">
            <x v="8"/>
          </reference>
        </references>
      </pivotArea>
    </format>
    <format dxfId="46">
      <pivotArea dataOnly="0" labelOnly="1" outline="0" fieldPosition="0">
        <references count="2">
          <reference field="2" count="3">
            <x v="11"/>
            <x v="20"/>
            <x v="23"/>
          </reference>
          <reference field="6" count="1" selected="0">
            <x v="8"/>
          </reference>
        </references>
      </pivotArea>
    </format>
    <format dxfId="45">
      <pivotArea outline="0" fieldPosition="0">
        <references count="3">
          <reference field="2" count="3" selected="0">
            <x v="10"/>
            <x v="13"/>
            <x v="26"/>
          </reference>
          <reference field="3" count="1" selected="0">
            <x v="1"/>
          </reference>
          <reference field="6" count="1" selected="0">
            <x v="7"/>
          </reference>
        </references>
      </pivotArea>
    </format>
    <format dxfId="44">
      <pivotArea dataOnly="0" labelOnly="1" outline="0" fieldPosition="0">
        <references count="2">
          <reference field="2" count="3">
            <x v="10"/>
            <x v="13"/>
            <x v="26"/>
          </reference>
          <reference field="6" count="1" selected="0">
            <x v="7"/>
          </reference>
        </references>
      </pivotArea>
    </format>
    <format dxfId="43">
      <pivotArea outline="0" fieldPosition="0">
        <references count="3">
          <reference field="2" count="2" selected="0">
            <x v="15"/>
            <x v="33"/>
          </reference>
          <reference field="3" count="1" selected="0">
            <x v="3"/>
          </reference>
          <reference field="6" count="1" selected="0">
            <x v="6"/>
          </reference>
        </references>
      </pivotArea>
    </format>
    <format dxfId="42">
      <pivotArea dataOnly="0" labelOnly="1" outline="0" fieldPosition="0">
        <references count="2">
          <reference field="2" count="2">
            <x v="15"/>
            <x v="33"/>
          </reference>
          <reference field="6" count="1" selected="0">
            <x v="6"/>
          </reference>
        </references>
      </pivotArea>
    </format>
    <format dxfId="41">
      <pivotArea outline="0" fieldPosition="0">
        <references count="3">
          <reference field="2" count="3" selected="0">
            <x v="7"/>
            <x v="28"/>
            <x v="35"/>
          </reference>
          <reference field="3" count="3" selected="0">
            <x v="0"/>
            <x v="1"/>
            <x v="3"/>
          </reference>
          <reference field="6" count="1" selected="0">
            <x v="5"/>
          </reference>
        </references>
      </pivotArea>
    </format>
    <format dxfId="40">
      <pivotArea dataOnly="0" labelOnly="1" outline="0" fieldPosition="0">
        <references count="2">
          <reference field="2" count="3">
            <x v="7"/>
            <x v="28"/>
            <x v="35"/>
          </reference>
          <reference field="6" count="1" selected="0">
            <x v="5"/>
          </reference>
        </references>
      </pivotArea>
    </format>
    <format dxfId="39">
      <pivotArea outline="0" fieldPosition="0">
        <references count="3">
          <reference field="2" count="3" selected="0">
            <x v="24"/>
            <x v="27"/>
            <x v="29"/>
          </reference>
          <reference field="3" count="2" selected="0">
            <x v="0"/>
            <x v="1"/>
          </reference>
          <reference field="6" count="1" selected="0">
            <x v="3"/>
          </reference>
        </references>
      </pivotArea>
    </format>
    <format dxfId="38">
      <pivotArea dataOnly="0" labelOnly="1" outline="0" fieldPosition="0">
        <references count="2">
          <reference field="2" count="3">
            <x v="24"/>
            <x v="27"/>
            <x v="29"/>
          </reference>
          <reference field="6" count="1" selected="0">
            <x v="3"/>
          </reference>
        </references>
      </pivotArea>
    </format>
    <format dxfId="37">
      <pivotArea outline="0" fieldPosition="0">
        <references count="3">
          <reference field="2" count="3" selected="0">
            <x v="0"/>
            <x v="17"/>
            <x v="34"/>
          </reference>
          <reference field="3" count="1" selected="0">
            <x v="1"/>
          </reference>
          <reference field="6" count="1" selected="0">
            <x v="1"/>
          </reference>
        </references>
      </pivotArea>
    </format>
    <format dxfId="36">
      <pivotArea dataOnly="0" labelOnly="1" outline="0" fieldPosition="0">
        <references count="2">
          <reference field="2" count="3">
            <x v="0"/>
            <x v="17"/>
            <x v="34"/>
          </reference>
          <reference field="6" count="1" selected="0">
            <x v="1"/>
          </reference>
        </references>
      </pivotArea>
    </format>
    <format dxfId="35">
      <pivotArea dataOnly="0" labelOnly="1" outline="0" fieldPosition="0">
        <references count="3">
          <reference field="2" count="1" selected="0">
            <x v="32"/>
          </reference>
          <reference field="3" count="1">
            <x v="1"/>
          </reference>
          <reference field="6" count="1" selected="0">
            <x v="0"/>
          </reference>
        </references>
      </pivotArea>
    </format>
    <format dxfId="34">
      <pivotArea dataOnly="0" labelOnly="1" outline="0" fieldPosition="0">
        <references count="3">
          <reference field="2" count="1" selected="0">
            <x v="37"/>
          </reference>
          <reference field="3" count="1">
            <x v="1"/>
          </reference>
          <reference field="6" count="1" selected="0">
            <x v="0"/>
          </reference>
        </references>
      </pivotArea>
    </format>
    <format dxfId="33">
      <pivotArea dataOnly="0" labelOnly="1" outline="0" fieldPosition="0">
        <references count="3">
          <reference field="2" count="1" selected="0">
            <x v="0"/>
          </reference>
          <reference field="3" count="1">
            <x v="1"/>
          </reference>
          <reference field="6" count="1" selected="0">
            <x v="1"/>
          </reference>
        </references>
      </pivotArea>
    </format>
    <format dxfId="32">
      <pivotArea dataOnly="0" labelOnly="1" outline="0" fieldPosition="0">
        <references count="3">
          <reference field="2" count="1" selected="0">
            <x v="17"/>
          </reference>
          <reference field="3" count="1">
            <x v="1"/>
          </reference>
          <reference field="6" count="1" selected="0">
            <x v="1"/>
          </reference>
        </references>
      </pivotArea>
    </format>
    <format dxfId="31">
      <pivotArea dataOnly="0" labelOnly="1" outline="0" fieldPosition="0">
        <references count="3">
          <reference field="2" count="1" selected="0">
            <x v="34"/>
          </reference>
          <reference field="3" count="1">
            <x v="1"/>
          </reference>
          <reference field="6" count="1" selected="0">
            <x v="1"/>
          </reference>
        </references>
      </pivotArea>
    </format>
    <format dxfId="30">
      <pivotArea dataOnly="0" labelOnly="1" outline="0" fieldPosition="0">
        <references count="3">
          <reference field="2" count="1" selected="0">
            <x v="24"/>
          </reference>
          <reference field="3" count="1">
            <x v="1"/>
          </reference>
          <reference field="6" count="1" selected="0">
            <x v="3"/>
          </reference>
        </references>
      </pivotArea>
    </format>
    <format dxfId="29">
      <pivotArea dataOnly="0" labelOnly="1" outline="0" fieldPosition="0">
        <references count="3">
          <reference field="2" count="1" selected="0">
            <x v="27"/>
          </reference>
          <reference field="3" count="1">
            <x v="0"/>
          </reference>
          <reference field="6" count="1" selected="0">
            <x v="3"/>
          </reference>
        </references>
      </pivotArea>
    </format>
    <format dxfId="28">
      <pivotArea dataOnly="0" labelOnly="1" outline="0" fieldPosition="0">
        <references count="3">
          <reference field="2" count="1" selected="0">
            <x v="29"/>
          </reference>
          <reference field="3" count="1">
            <x v="1"/>
          </reference>
          <reference field="6" count="1" selected="0">
            <x v="3"/>
          </reference>
        </references>
      </pivotArea>
    </format>
    <format dxfId="27">
      <pivotArea dataOnly="0" labelOnly="1" outline="0" fieldPosition="0">
        <references count="3">
          <reference field="2" count="1" selected="0">
            <x v="7"/>
          </reference>
          <reference field="3" count="1">
            <x v="0"/>
          </reference>
          <reference field="6" count="1" selected="0">
            <x v="5"/>
          </reference>
        </references>
      </pivotArea>
    </format>
    <format dxfId="26">
      <pivotArea dataOnly="0" labelOnly="1" outline="0" fieldPosition="0">
        <references count="3">
          <reference field="2" count="1" selected="0">
            <x v="28"/>
          </reference>
          <reference field="3" count="1">
            <x v="3"/>
          </reference>
          <reference field="6" count="1" selected="0">
            <x v="5"/>
          </reference>
        </references>
      </pivotArea>
    </format>
    <format dxfId="25">
      <pivotArea dataOnly="0" labelOnly="1" outline="0" fieldPosition="0">
        <references count="3">
          <reference field="2" count="1" selected="0">
            <x v="35"/>
          </reference>
          <reference field="3" count="1">
            <x v="1"/>
          </reference>
          <reference field="6" count="1" selected="0">
            <x v="5"/>
          </reference>
        </references>
      </pivotArea>
    </format>
    <format dxfId="24">
      <pivotArea dataOnly="0" labelOnly="1" outline="0" fieldPosition="0">
        <references count="3">
          <reference field="2" count="1" selected="0">
            <x v="15"/>
          </reference>
          <reference field="3" count="1">
            <x v="3"/>
          </reference>
          <reference field="6" count="1" selected="0">
            <x v="6"/>
          </reference>
        </references>
      </pivotArea>
    </format>
    <format dxfId="23">
      <pivotArea dataOnly="0" labelOnly="1" outline="0" fieldPosition="0">
        <references count="3">
          <reference field="2" count="1" selected="0">
            <x v="33"/>
          </reference>
          <reference field="3" count="1">
            <x v="3"/>
          </reference>
          <reference field="6" count="1" selected="0">
            <x v="6"/>
          </reference>
        </references>
      </pivotArea>
    </format>
    <format dxfId="22">
      <pivotArea dataOnly="0" labelOnly="1" outline="0" fieldPosition="0">
        <references count="3">
          <reference field="2" count="1" selected="0">
            <x v="10"/>
          </reference>
          <reference field="3" count="1">
            <x v="1"/>
          </reference>
          <reference field="6" count="1" selected="0">
            <x v="7"/>
          </reference>
        </references>
      </pivotArea>
    </format>
    <format dxfId="21">
      <pivotArea dataOnly="0" labelOnly="1" outline="0" fieldPosition="0">
        <references count="3">
          <reference field="2" count="1" selected="0">
            <x v="13"/>
          </reference>
          <reference field="3" count="1">
            <x v="1"/>
          </reference>
          <reference field="6" count="1" selected="0">
            <x v="7"/>
          </reference>
        </references>
      </pivotArea>
    </format>
    <format dxfId="20">
      <pivotArea dataOnly="0" labelOnly="1" outline="0" fieldPosition="0">
        <references count="3">
          <reference field="2" count="1" selected="0">
            <x v="26"/>
          </reference>
          <reference field="3" count="1">
            <x v="1"/>
          </reference>
          <reference field="6" count="1" selected="0">
            <x v="7"/>
          </reference>
        </references>
      </pivotArea>
    </format>
    <format dxfId="19">
      <pivotArea dataOnly="0" labelOnly="1" outline="0" fieldPosition="0">
        <references count="3">
          <reference field="2" count="1" selected="0">
            <x v="11"/>
          </reference>
          <reference field="3" count="1">
            <x v="1"/>
          </reference>
          <reference field="6" count="1" selected="0">
            <x v="8"/>
          </reference>
        </references>
      </pivotArea>
    </format>
    <format dxfId="18">
      <pivotArea dataOnly="0" labelOnly="1" outline="0" fieldPosition="0">
        <references count="3">
          <reference field="2" count="1" selected="0">
            <x v="20"/>
          </reference>
          <reference field="3" count="1">
            <x v="1"/>
          </reference>
          <reference field="6" count="1" selected="0">
            <x v="8"/>
          </reference>
        </references>
      </pivotArea>
    </format>
    <format dxfId="17">
      <pivotArea dataOnly="0" labelOnly="1" outline="0" fieldPosition="0">
        <references count="3">
          <reference field="2" count="1" selected="0">
            <x v="23"/>
          </reference>
          <reference field="3" count="1">
            <x v="0"/>
          </reference>
          <reference field="6" count="1" selected="0">
            <x v="8"/>
          </reference>
        </references>
      </pivotArea>
    </format>
    <format dxfId="16">
      <pivotArea dataOnly="0" labelOnly="1" outline="0" fieldPosition="0">
        <references count="3">
          <reference field="2" count="1" selected="0">
            <x v="1"/>
          </reference>
          <reference field="3" count="1">
            <x v="1"/>
          </reference>
          <reference field="6" count="1" selected="0">
            <x v="10"/>
          </reference>
        </references>
      </pivotArea>
    </format>
    <format dxfId="15">
      <pivotArea dataOnly="0" labelOnly="1" outline="0" fieldPosition="0">
        <references count="3">
          <reference field="2" count="1" selected="0">
            <x v="14"/>
          </reference>
          <reference field="3" count="1">
            <x v="3"/>
          </reference>
          <reference field="6" count="1" selected="0">
            <x v="10"/>
          </reference>
        </references>
      </pivotArea>
    </format>
    <format dxfId="14">
      <pivotArea dataOnly="0" labelOnly="1" outline="0" fieldPosition="0">
        <references count="3">
          <reference field="2" count="1" selected="0">
            <x v="31"/>
          </reference>
          <reference field="3" count="1">
            <x v="0"/>
          </reference>
          <reference field="6" count="1" selected="0">
            <x v="10"/>
          </reference>
        </references>
      </pivotArea>
    </format>
    <format dxfId="13">
      <pivotArea dataOnly="0" labelOnly="1" outline="0" fieldPosition="0">
        <references count="3">
          <reference field="2" count="1" selected="0">
            <x v="4"/>
          </reference>
          <reference field="3" count="1">
            <x v="1"/>
          </reference>
          <reference field="6" count="1" selected="0">
            <x v="11"/>
          </reference>
        </references>
      </pivotArea>
    </format>
    <format dxfId="12">
      <pivotArea dataOnly="0" labelOnly="1" outline="0" fieldPosition="0">
        <references count="3">
          <reference field="2" count="1" selected="0">
            <x v="12"/>
          </reference>
          <reference field="3" count="1">
            <x v="1"/>
          </reference>
          <reference field="6" count="1" selected="0">
            <x v="11"/>
          </reference>
        </references>
      </pivotArea>
    </format>
    <format dxfId="11">
      <pivotArea dataOnly="0" labelOnly="1" outline="0" fieldPosition="0">
        <references count="3">
          <reference field="2" count="1" selected="0">
            <x v="18"/>
          </reference>
          <reference field="3" count="1">
            <x v="0"/>
          </reference>
          <reference field="6" count="1" selected="0">
            <x v="11"/>
          </reference>
        </references>
      </pivotArea>
    </format>
    <format dxfId="10">
      <pivotArea dataOnly="0" labelOnly="1" outline="0" fieldPosition="0">
        <references count="3">
          <reference field="2" count="1" selected="0">
            <x v="25"/>
          </reference>
          <reference field="3" count="1">
            <x v="0"/>
          </reference>
          <reference field="6" count="1" selected="0">
            <x v="13"/>
          </reference>
        </references>
      </pivotArea>
    </format>
    <format dxfId="9">
      <pivotArea dataOnly="0" labelOnly="1" outline="0" fieldPosition="0">
        <references count="3">
          <reference field="2" count="1" selected="0">
            <x v="16"/>
          </reference>
          <reference field="3" count="1">
            <x v="3"/>
          </reference>
          <reference field="6" count="1" selected="0">
            <x v="14"/>
          </reference>
        </references>
      </pivotArea>
    </format>
    <format dxfId="8">
      <pivotArea dataOnly="0" labelOnly="1" outline="0" fieldPosition="0">
        <references count="3">
          <reference field="2" count="1" selected="0">
            <x v="22"/>
          </reference>
          <reference field="3" count="1">
            <x v="1"/>
          </reference>
          <reference field="6" count="1" selected="0">
            <x v="14"/>
          </reference>
        </references>
      </pivotArea>
    </format>
    <format dxfId="7">
      <pivotArea dataOnly="0" labelOnly="1" outline="0" fieldPosition="0">
        <references count="3">
          <reference field="2" count="1" selected="0">
            <x v="2"/>
          </reference>
          <reference field="3" count="1">
            <x v="1"/>
          </reference>
          <reference field="6" count="1" selected="0">
            <x v="15"/>
          </reference>
        </references>
      </pivotArea>
    </format>
    <format dxfId="6">
      <pivotArea dataOnly="0" labelOnly="1" outline="0" fieldPosition="0">
        <references count="3">
          <reference field="2" count="1" selected="0">
            <x v="8"/>
          </reference>
          <reference field="3" count="1">
            <x v="3"/>
          </reference>
          <reference field="6" count="1" selected="0">
            <x v="15"/>
          </reference>
        </references>
      </pivotArea>
    </format>
    <format dxfId="5">
      <pivotArea dataOnly="0" labelOnly="1" outline="0" fieldPosition="0">
        <references count="3">
          <reference field="2" count="1" selected="0">
            <x v="19"/>
          </reference>
          <reference field="3" count="1">
            <x v="1"/>
          </reference>
          <reference field="6" count="1" selected="0">
            <x v="15"/>
          </reference>
        </references>
      </pivotArea>
    </format>
    <format dxfId="4">
      <pivotArea dataOnly="0" labelOnly="1" outline="0" fieldPosition="0">
        <references count="3">
          <reference field="2" count="1" selected="0">
            <x v="5"/>
          </reference>
          <reference field="3" count="1">
            <x v="1"/>
          </reference>
          <reference field="6" count="1" selected="0">
            <x v="17"/>
          </reference>
        </references>
      </pivotArea>
    </format>
    <format dxfId="3">
      <pivotArea dataOnly="0" labelOnly="1" outline="0" fieldPosition="0">
        <references count="3">
          <reference field="2" count="1" selected="0">
            <x v="6"/>
          </reference>
          <reference field="3" count="1">
            <x v="1"/>
          </reference>
          <reference field="6" count="1" selected="0">
            <x v="17"/>
          </reference>
        </references>
      </pivotArea>
    </format>
    <format dxfId="2">
      <pivotArea dataOnly="0" labelOnly="1" outline="0" fieldPosition="0">
        <references count="3">
          <reference field="2" count="1" selected="0">
            <x v="21"/>
          </reference>
          <reference field="3" count="1">
            <x v="3"/>
          </reference>
          <reference field="6" count="1" selected="0">
            <x v="17"/>
          </reference>
        </references>
      </pivotArea>
    </format>
    <format dxfId="1">
      <pivotArea dataOnly="0" labelOnly="1" outline="0" fieldPosition="0">
        <references count="3">
          <reference field="2" count="1" selected="0">
            <x v="3"/>
          </reference>
          <reference field="3" count="1">
            <x v="3"/>
          </reference>
          <reference field="6" count="1" selected="0">
            <x v="19"/>
          </reference>
        </references>
      </pivotArea>
    </format>
    <format dxfId="0">
      <pivotArea dataOnly="0" labelOnly="1" outline="0" fieldPosition="0">
        <references count="3">
          <reference field="2" count="1" selected="0">
            <x v="30"/>
          </reference>
          <reference field="3" count="1">
            <x v="1"/>
          </reference>
          <reference field="6" count="1" selected="0">
            <x v="1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9" dT="2026-09-16T06:47:16.83" personId="{7486B9FE-E2ED-4A9E-A7DF-3EF2CF1FE663}" id="{84EB0406-1B56-4E30-93A6-40843CAC6B6F}">
    <text>Resigned</text>
  </threadedComment>
  <threadedComment ref="I19" dT="2026-09-25T05:58:06.80" personId="{7486B9FE-E2ED-4A9E-A7DF-3EF2CF1FE663}" id="{7860FD22-E325-43C5-8C65-4F5A79DFE417}">
    <text>Maintenance and Equipment Engineering KRA</text>
  </threadedComment>
  <threadedComment ref="I20" dT="2026-09-25T05:58:06.80" personId="{7486B9FE-E2ED-4A9E-A7DF-3EF2CF1FE663}" id="{09612C04-694C-4FBC-B3CA-BF8A369F2823}">
    <text>Maintenance and Equipment Engineering KRA</text>
  </threadedComment>
  <threadedComment ref="H30" dT="2026-09-25T05:44:57.89" personId="{7486B9FE-E2ED-4A9E-A7DF-3EF2CF1FE663}" id="{8C92E94C-C534-4654-9280-A3D24894991D}">
    <text>Is this  fan-out?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C25FA-9DDB-4F37-9F03-D43A41F97D0D}">
  <dimension ref="A3:E41"/>
  <sheetViews>
    <sheetView showGridLines="0" workbookViewId="0">
      <selection activeCell="F15" sqref="F15:G15"/>
    </sheetView>
  </sheetViews>
  <sheetFormatPr defaultRowHeight="14.75" x14ac:dyDescent="0.75"/>
  <cols>
    <col min="1" max="1" width="82.6796875" bestFit="1" customWidth="1"/>
    <col min="2" max="2" width="25" bestFit="1" customWidth="1"/>
    <col min="3" max="3" width="12.1796875" bestFit="1" customWidth="1"/>
    <col min="4" max="4" width="5.08984375" bestFit="1" customWidth="1"/>
    <col min="5" max="5" width="44.2265625" bestFit="1" customWidth="1"/>
  </cols>
  <sheetData>
    <row r="3" spans="1:5" x14ac:dyDescent="0.75">
      <c r="A3" s="43" t="s">
        <v>174</v>
      </c>
    </row>
    <row r="4" spans="1:5" x14ac:dyDescent="0.75">
      <c r="A4" s="43" t="s">
        <v>5</v>
      </c>
      <c r="B4" s="43" t="s">
        <v>1</v>
      </c>
      <c r="C4" s="43" t="s">
        <v>2</v>
      </c>
      <c r="D4" t="s">
        <v>98</v>
      </c>
    </row>
    <row r="5" spans="1:5" x14ac:dyDescent="0.75">
      <c r="A5" s="56" t="s">
        <v>88</v>
      </c>
      <c r="B5" s="56" t="s">
        <v>96</v>
      </c>
      <c r="C5" s="61" t="s">
        <v>49</v>
      </c>
      <c r="D5" s="52">
        <v>1</v>
      </c>
      <c r="E5" s="29" t="s">
        <v>178</v>
      </c>
    </row>
    <row r="6" spans="1:5" x14ac:dyDescent="0.75">
      <c r="A6" s="57"/>
      <c r="B6" s="58" t="s">
        <v>86</v>
      </c>
      <c r="C6" s="64" t="s">
        <v>49</v>
      </c>
      <c r="D6" s="54">
        <v>1</v>
      </c>
    </row>
    <row r="7" spans="1:5" x14ac:dyDescent="0.75">
      <c r="A7" s="58" t="s">
        <v>156</v>
      </c>
      <c r="B7" s="56" t="s">
        <v>60</v>
      </c>
      <c r="C7" s="61" t="s">
        <v>49</v>
      </c>
      <c r="D7" s="52">
        <v>1</v>
      </c>
      <c r="E7" s="29" t="s">
        <v>177</v>
      </c>
    </row>
    <row r="8" spans="1:5" x14ac:dyDescent="0.75">
      <c r="A8" s="58"/>
      <c r="B8" s="58" t="s">
        <v>56</v>
      </c>
      <c r="C8" s="64" t="s">
        <v>49</v>
      </c>
      <c r="D8" s="54">
        <v>1</v>
      </c>
    </row>
    <row r="9" spans="1:5" x14ac:dyDescent="0.75">
      <c r="A9" s="57"/>
      <c r="B9" s="57" t="s">
        <v>58</v>
      </c>
      <c r="C9" s="62" t="s">
        <v>49</v>
      </c>
      <c r="D9" s="53">
        <v>1</v>
      </c>
    </row>
    <row r="10" spans="1:5" x14ac:dyDescent="0.75">
      <c r="A10" s="58" t="s">
        <v>162</v>
      </c>
      <c r="B10" s="56" t="s">
        <v>68</v>
      </c>
      <c r="C10" s="61" t="s">
        <v>49</v>
      </c>
      <c r="D10" s="52">
        <v>1</v>
      </c>
    </row>
    <row r="11" spans="1:5" x14ac:dyDescent="0.75">
      <c r="A11" s="58"/>
      <c r="B11" s="58" t="s">
        <v>44</v>
      </c>
      <c r="C11" s="64" t="s">
        <v>36</v>
      </c>
      <c r="D11" s="54">
        <v>1</v>
      </c>
    </row>
    <row r="12" spans="1:5" x14ac:dyDescent="0.75">
      <c r="A12" s="57"/>
      <c r="B12" s="57" t="s">
        <v>76</v>
      </c>
      <c r="C12" s="62" t="s">
        <v>49</v>
      </c>
      <c r="D12" s="53">
        <v>1</v>
      </c>
    </row>
    <row r="13" spans="1:5" x14ac:dyDescent="0.75">
      <c r="A13" s="29" t="s">
        <v>164</v>
      </c>
      <c r="B13" s="56" t="s">
        <v>40</v>
      </c>
      <c r="C13" s="61" t="s">
        <v>36</v>
      </c>
      <c r="D13" s="52">
        <v>1</v>
      </c>
    </row>
    <row r="14" spans="1:5" x14ac:dyDescent="0.75">
      <c r="A14" s="29"/>
      <c r="B14" s="58" t="s">
        <v>26</v>
      </c>
      <c r="C14" s="64" t="s">
        <v>9</v>
      </c>
      <c r="D14" s="54">
        <v>1</v>
      </c>
    </row>
    <row r="15" spans="1:5" x14ac:dyDescent="0.75">
      <c r="A15" s="29"/>
      <c r="B15" s="57" t="s">
        <v>91</v>
      </c>
      <c r="C15" s="62" t="s">
        <v>49</v>
      </c>
      <c r="D15" s="53">
        <v>1</v>
      </c>
    </row>
    <row r="16" spans="1:5" x14ac:dyDescent="0.75">
      <c r="A16" s="29" t="s">
        <v>152</v>
      </c>
      <c r="B16" s="56" t="s">
        <v>23</v>
      </c>
      <c r="C16" s="61" t="s">
        <v>9</v>
      </c>
      <c r="D16" s="52">
        <v>1</v>
      </c>
    </row>
    <row r="17" spans="1:5" x14ac:dyDescent="0.75">
      <c r="A17" s="29"/>
      <c r="B17" s="57" t="s">
        <v>32</v>
      </c>
      <c r="C17" s="62" t="s">
        <v>9</v>
      </c>
      <c r="D17" s="53">
        <v>1</v>
      </c>
    </row>
    <row r="18" spans="1:5" x14ac:dyDescent="0.75">
      <c r="A18" s="56" t="s">
        <v>159</v>
      </c>
      <c r="B18" s="56" t="s">
        <v>54</v>
      </c>
      <c r="C18" s="61" t="s">
        <v>49</v>
      </c>
      <c r="D18" s="52">
        <v>1</v>
      </c>
      <c r="E18" s="29" t="s">
        <v>179</v>
      </c>
    </row>
    <row r="19" spans="1:5" x14ac:dyDescent="0.75">
      <c r="A19" s="58"/>
      <c r="B19" s="58" t="s">
        <v>84</v>
      </c>
      <c r="C19" s="64" t="s">
        <v>49</v>
      </c>
      <c r="D19" s="54">
        <v>1</v>
      </c>
    </row>
    <row r="20" spans="1:5" x14ac:dyDescent="0.75">
      <c r="A20" s="57"/>
      <c r="B20" s="57" t="s">
        <v>80</v>
      </c>
      <c r="C20" s="62" t="s">
        <v>49</v>
      </c>
      <c r="D20" s="53">
        <v>1</v>
      </c>
    </row>
    <row r="21" spans="1:5" x14ac:dyDescent="0.75">
      <c r="A21" s="58" t="s">
        <v>154</v>
      </c>
      <c r="B21" s="56" t="s">
        <v>81</v>
      </c>
      <c r="C21" s="61" t="s">
        <v>49</v>
      </c>
      <c r="D21" s="52">
        <v>1</v>
      </c>
      <c r="E21" s="29" t="s">
        <v>179</v>
      </c>
    </row>
    <row r="22" spans="1:5" x14ac:dyDescent="0.75">
      <c r="A22" s="58"/>
      <c r="B22" s="58" t="s">
        <v>71</v>
      </c>
      <c r="C22" s="64" t="s">
        <v>49</v>
      </c>
      <c r="D22" s="54">
        <v>1</v>
      </c>
    </row>
    <row r="23" spans="1:5" x14ac:dyDescent="0.75">
      <c r="A23" s="57"/>
      <c r="B23" s="57" t="s">
        <v>41</v>
      </c>
      <c r="C23" s="62" t="s">
        <v>36</v>
      </c>
      <c r="D23" s="53">
        <v>1</v>
      </c>
    </row>
    <row r="24" spans="1:5" x14ac:dyDescent="0.75">
      <c r="A24" s="58" t="s">
        <v>166</v>
      </c>
      <c r="B24" s="56" t="s">
        <v>74</v>
      </c>
      <c r="C24" s="61" t="s">
        <v>49</v>
      </c>
      <c r="D24" s="52">
        <v>1</v>
      </c>
      <c r="E24" s="54" t="s">
        <v>180</v>
      </c>
    </row>
    <row r="25" spans="1:5" x14ac:dyDescent="0.75">
      <c r="A25" s="58"/>
      <c r="B25" s="58" t="s">
        <v>13</v>
      </c>
      <c r="C25" s="64" t="s">
        <v>9</v>
      </c>
      <c r="D25" s="54">
        <v>1</v>
      </c>
    </row>
    <row r="26" spans="1:5" x14ac:dyDescent="0.75">
      <c r="A26" s="57"/>
      <c r="B26" s="57" t="s">
        <v>35</v>
      </c>
      <c r="C26" s="62" t="s">
        <v>36</v>
      </c>
      <c r="D26" s="53">
        <v>1</v>
      </c>
    </row>
    <row r="27" spans="1:5" x14ac:dyDescent="0.75">
      <c r="A27" s="58" t="s">
        <v>158</v>
      </c>
      <c r="B27" s="56" t="s">
        <v>78</v>
      </c>
      <c r="C27" s="61" t="s">
        <v>49</v>
      </c>
      <c r="D27" s="52">
        <v>1</v>
      </c>
    </row>
    <row r="28" spans="1:5" x14ac:dyDescent="0.75">
      <c r="A28" s="58"/>
      <c r="B28" s="58" t="s">
        <v>79</v>
      </c>
      <c r="C28" s="64" t="s">
        <v>49</v>
      </c>
      <c r="D28" s="54">
        <v>1</v>
      </c>
    </row>
    <row r="29" spans="1:5" x14ac:dyDescent="0.75">
      <c r="A29" s="57"/>
      <c r="B29" s="57" t="s">
        <v>38</v>
      </c>
      <c r="C29" s="62" t="s">
        <v>36</v>
      </c>
      <c r="D29" s="53">
        <v>1</v>
      </c>
    </row>
    <row r="30" spans="1:5" x14ac:dyDescent="0.75">
      <c r="A30" s="57" t="s">
        <v>161</v>
      </c>
      <c r="B30" s="63" t="s">
        <v>37</v>
      </c>
      <c r="C30" s="66" t="s">
        <v>36</v>
      </c>
      <c r="D30" s="55">
        <v>1</v>
      </c>
      <c r="E30" s="29" t="s">
        <v>181</v>
      </c>
    </row>
    <row r="31" spans="1:5" x14ac:dyDescent="0.75">
      <c r="A31" s="58" t="s">
        <v>169</v>
      </c>
      <c r="B31" s="56" t="s">
        <v>17</v>
      </c>
      <c r="C31" s="61" t="s">
        <v>9</v>
      </c>
      <c r="D31" s="52">
        <v>1</v>
      </c>
      <c r="E31" s="29" t="s">
        <v>182</v>
      </c>
    </row>
    <row r="32" spans="1:5" x14ac:dyDescent="0.75">
      <c r="A32" s="57"/>
      <c r="B32" s="57" t="s">
        <v>69</v>
      </c>
      <c r="C32" s="62" t="s">
        <v>49</v>
      </c>
      <c r="D32" s="53">
        <v>1</v>
      </c>
    </row>
    <row r="33" spans="1:4" x14ac:dyDescent="0.75">
      <c r="A33" s="58" t="s">
        <v>62</v>
      </c>
      <c r="B33" s="56" t="s">
        <v>65</v>
      </c>
      <c r="C33" s="61" t="s">
        <v>49</v>
      </c>
      <c r="D33" s="52">
        <v>1</v>
      </c>
    </row>
    <row r="34" spans="1:4" x14ac:dyDescent="0.75">
      <c r="A34" s="58"/>
      <c r="B34" s="58" t="s">
        <v>20</v>
      </c>
      <c r="C34" s="64" t="s">
        <v>9</v>
      </c>
      <c r="D34" s="54">
        <v>1</v>
      </c>
    </row>
    <row r="35" spans="1:4" x14ac:dyDescent="0.75">
      <c r="A35" s="57"/>
      <c r="B35" s="57" t="s">
        <v>61</v>
      </c>
      <c r="C35" s="62" t="s">
        <v>49</v>
      </c>
      <c r="D35" s="53">
        <v>1</v>
      </c>
    </row>
    <row r="36" spans="1:4" x14ac:dyDescent="0.75">
      <c r="A36" s="58" t="s">
        <v>171</v>
      </c>
      <c r="B36" s="56" t="s">
        <v>48</v>
      </c>
      <c r="C36" s="61" t="s">
        <v>49</v>
      </c>
      <c r="D36" s="52">
        <v>1</v>
      </c>
    </row>
    <row r="37" spans="1:4" x14ac:dyDescent="0.75">
      <c r="A37" s="58"/>
      <c r="B37" s="58" t="s">
        <v>70</v>
      </c>
      <c r="C37" s="64" t="s">
        <v>49</v>
      </c>
      <c r="D37" s="54">
        <v>1</v>
      </c>
    </row>
    <row r="38" spans="1:4" x14ac:dyDescent="0.75">
      <c r="A38" s="57"/>
      <c r="B38" s="57" t="s">
        <v>8</v>
      </c>
      <c r="C38" s="62" t="s">
        <v>9</v>
      </c>
      <c r="D38" s="53">
        <v>1</v>
      </c>
    </row>
    <row r="39" spans="1:4" x14ac:dyDescent="0.75">
      <c r="A39" s="64" t="s">
        <v>175</v>
      </c>
      <c r="B39" s="61" t="s">
        <v>31</v>
      </c>
      <c r="C39" s="61" t="s">
        <v>9</v>
      </c>
      <c r="D39" s="59">
        <v>1</v>
      </c>
    </row>
    <row r="40" spans="1:4" x14ac:dyDescent="0.75">
      <c r="A40" s="62"/>
      <c r="B40" s="62" t="s">
        <v>25</v>
      </c>
      <c r="C40" s="62" t="s">
        <v>49</v>
      </c>
      <c r="D40" s="60">
        <v>1</v>
      </c>
    </row>
    <row r="41" spans="1:4" x14ac:dyDescent="0.75">
      <c r="A41" s="50" t="s">
        <v>170</v>
      </c>
      <c r="B41" s="65"/>
      <c r="C41" s="51"/>
      <c r="D41" s="49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D0ED2-D0F5-4F12-B7DA-1441DC57903C}">
  <sheetPr>
    <pageSetUpPr fitToPage="1"/>
  </sheetPr>
  <dimension ref="B2:L46"/>
  <sheetViews>
    <sheetView showGridLines="0" tabSelected="1" zoomScale="80" zoomScaleNormal="80" workbookViewId="0"/>
  </sheetViews>
  <sheetFormatPr defaultRowHeight="14.75" x14ac:dyDescent="0.75"/>
  <cols>
    <col min="1" max="1" width="2.1796875" customWidth="1"/>
    <col min="2" max="3" width="6.26953125" customWidth="1"/>
    <col min="4" max="4" width="24.36328125" customWidth="1"/>
    <col min="5" max="5" width="13" customWidth="1"/>
    <col min="6" max="6" width="32" customWidth="1"/>
    <col min="7" max="7" width="24.54296875" customWidth="1"/>
    <col min="8" max="8" width="77.76953125" customWidth="1"/>
    <col min="9" max="9" width="39.1328125" customWidth="1"/>
    <col min="10" max="10" width="28.6328125" customWidth="1"/>
    <col min="11" max="11" width="8.7265625" customWidth="1"/>
    <col min="12" max="12" width="35.76953125" bestFit="1" customWidth="1"/>
  </cols>
  <sheetData>
    <row r="2" spans="2:12" ht="15.5" thickBot="1" x14ac:dyDescent="0.9">
      <c r="B2" s="1" t="s">
        <v>173</v>
      </c>
      <c r="C2" s="1" t="s">
        <v>0</v>
      </c>
      <c r="D2" s="2" t="s">
        <v>1</v>
      </c>
      <c r="E2" s="2" t="s">
        <v>2</v>
      </c>
      <c r="F2" s="2" t="s">
        <v>3</v>
      </c>
      <c r="G2" s="2" t="s">
        <v>4</v>
      </c>
      <c r="H2" s="2" t="s">
        <v>5</v>
      </c>
      <c r="I2" s="2" t="s">
        <v>6</v>
      </c>
      <c r="J2" s="2" t="s">
        <v>7</v>
      </c>
      <c r="K2" s="3">
        <v>46276</v>
      </c>
    </row>
    <row r="3" spans="2:12" x14ac:dyDescent="0.75">
      <c r="B3" s="4">
        <v>1</v>
      </c>
      <c r="C3" s="48">
        <v>1</v>
      </c>
      <c r="D3" s="37" t="s">
        <v>8</v>
      </c>
      <c r="E3" s="5" t="s">
        <v>9</v>
      </c>
      <c r="F3" s="5" t="s">
        <v>10</v>
      </c>
      <c r="G3" s="5" t="s">
        <v>11</v>
      </c>
      <c r="H3" s="5" t="s">
        <v>171</v>
      </c>
      <c r="I3" s="5" t="s">
        <v>52</v>
      </c>
      <c r="J3" s="5" t="s">
        <v>53</v>
      </c>
      <c r="K3" s="6" t="s">
        <v>12</v>
      </c>
      <c r="L3" t="str">
        <f>LOWER(SUBSTITUTE(D3," ",".")&amp;"@microchip.com")</f>
        <v>limuel.manaig@microchip.com</v>
      </c>
    </row>
    <row r="4" spans="2:12" x14ac:dyDescent="0.75">
      <c r="B4" s="7">
        <v>2</v>
      </c>
      <c r="C4" s="48">
        <v>1</v>
      </c>
      <c r="D4" s="8" t="s">
        <v>13</v>
      </c>
      <c r="E4" s="9" t="s">
        <v>9</v>
      </c>
      <c r="F4" s="9" t="s">
        <v>14</v>
      </c>
      <c r="G4" s="9" t="s">
        <v>15</v>
      </c>
      <c r="H4" s="36" t="s">
        <v>166</v>
      </c>
      <c r="I4" s="9" t="s">
        <v>168</v>
      </c>
      <c r="J4" s="9" t="s">
        <v>145</v>
      </c>
      <c r="K4" s="10" t="s">
        <v>16</v>
      </c>
      <c r="L4" t="str">
        <f t="shared" ref="L4:L41" si="0">LOWER(SUBSTITUTE(D4," ",".")&amp;"@microchip.com")</f>
        <v>janice.ruth.bayogan@microchip.com</v>
      </c>
    </row>
    <row r="5" spans="2:12" x14ac:dyDescent="0.75">
      <c r="B5" s="7">
        <v>3</v>
      </c>
      <c r="C5" s="48">
        <v>1</v>
      </c>
      <c r="D5" s="67" t="s">
        <v>17</v>
      </c>
      <c r="E5" s="36" t="s">
        <v>9</v>
      </c>
      <c r="F5" s="36" t="s">
        <v>18</v>
      </c>
      <c r="G5" s="36" t="s">
        <v>19</v>
      </c>
      <c r="H5" s="36" t="s">
        <v>169</v>
      </c>
      <c r="I5" s="42"/>
      <c r="J5" s="9"/>
      <c r="K5" s="10" t="s">
        <v>16</v>
      </c>
      <c r="L5" t="str">
        <f t="shared" si="0"/>
        <v>jhen.cruz@microchip.com</v>
      </c>
    </row>
    <row r="6" spans="2:12" x14ac:dyDescent="0.75">
      <c r="B6" s="7">
        <v>4</v>
      </c>
      <c r="C6" s="48">
        <v>1</v>
      </c>
      <c r="D6" s="67" t="s">
        <v>20</v>
      </c>
      <c r="E6" s="36" t="s">
        <v>9</v>
      </c>
      <c r="F6" s="36" t="s">
        <v>21</v>
      </c>
      <c r="G6" s="36" t="s">
        <v>22</v>
      </c>
      <c r="H6" s="36" t="s">
        <v>62</v>
      </c>
      <c r="I6" s="9" t="s">
        <v>63</v>
      </c>
      <c r="J6" s="9" t="s">
        <v>64</v>
      </c>
      <c r="K6" s="11" t="s">
        <v>12</v>
      </c>
      <c r="L6" t="str">
        <f t="shared" si="0"/>
        <v>edward.henry.dela.cruz@microchip.com</v>
      </c>
    </row>
    <row r="7" spans="2:12" x14ac:dyDescent="0.75">
      <c r="B7" s="7">
        <v>5</v>
      </c>
      <c r="C7" s="48">
        <v>1</v>
      </c>
      <c r="D7" s="67" t="s">
        <v>23</v>
      </c>
      <c r="E7" s="36" t="s">
        <v>9</v>
      </c>
      <c r="F7" s="36" t="s">
        <v>24</v>
      </c>
      <c r="G7" s="36" t="s">
        <v>25</v>
      </c>
      <c r="H7" s="36" t="s">
        <v>152</v>
      </c>
      <c r="I7" s="9" t="s">
        <v>153</v>
      </c>
      <c r="J7" s="9" t="s">
        <v>142</v>
      </c>
      <c r="K7" s="11" t="s">
        <v>12</v>
      </c>
      <c r="L7" t="str">
        <f t="shared" si="0"/>
        <v>jerome.bando@microchip.com</v>
      </c>
    </row>
    <row r="8" spans="2:12" x14ac:dyDescent="0.75">
      <c r="B8" s="7">
        <v>6</v>
      </c>
      <c r="C8" s="48">
        <v>1</v>
      </c>
      <c r="D8" s="67" t="s">
        <v>26</v>
      </c>
      <c r="E8" s="36" t="s">
        <v>9</v>
      </c>
      <c r="F8" s="36" t="s">
        <v>27</v>
      </c>
      <c r="G8" s="36" t="s">
        <v>28</v>
      </c>
      <c r="H8" s="36" t="s">
        <v>164</v>
      </c>
      <c r="I8" s="9" t="s">
        <v>167</v>
      </c>
      <c r="J8" s="9" t="s">
        <v>125</v>
      </c>
      <c r="K8" s="11" t="s">
        <v>12</v>
      </c>
      <c r="L8" t="str">
        <f t="shared" si="0"/>
        <v>normie.quiminales@microchip.com</v>
      </c>
    </row>
    <row r="9" spans="2:12" x14ac:dyDescent="0.75">
      <c r="B9" s="7">
        <v>7</v>
      </c>
      <c r="C9" s="48">
        <v>1</v>
      </c>
      <c r="D9" s="12" t="s">
        <v>29</v>
      </c>
      <c r="E9" s="13" t="s">
        <v>9</v>
      </c>
      <c r="F9" s="13" t="s">
        <v>27</v>
      </c>
      <c r="G9" s="13" t="s">
        <v>28</v>
      </c>
      <c r="H9" s="13" t="s">
        <v>30</v>
      </c>
      <c r="I9" s="13"/>
      <c r="J9" s="13"/>
      <c r="K9" s="10" t="s">
        <v>16</v>
      </c>
      <c r="L9" t="str">
        <f t="shared" si="0"/>
        <v>sonny.gambala@microchip.com</v>
      </c>
    </row>
    <row r="10" spans="2:12" x14ac:dyDescent="0.75">
      <c r="B10" s="7">
        <v>8</v>
      </c>
      <c r="C10" s="48">
        <v>1</v>
      </c>
      <c r="D10" s="8" t="s">
        <v>31</v>
      </c>
      <c r="E10" s="9" t="s">
        <v>9</v>
      </c>
      <c r="F10" s="9" t="s">
        <v>24</v>
      </c>
      <c r="G10" s="9" t="s">
        <v>25</v>
      </c>
      <c r="H10" s="9" t="s">
        <v>175</v>
      </c>
      <c r="I10" s="9" t="s">
        <v>176</v>
      </c>
      <c r="J10" s="9" t="s">
        <v>145</v>
      </c>
      <c r="K10" s="11" t="s">
        <v>12</v>
      </c>
      <c r="L10" t="str">
        <f t="shared" si="0"/>
        <v>carlo.emmanuel.almazora@microchip.com</v>
      </c>
    </row>
    <row r="11" spans="2:12" x14ac:dyDescent="0.75">
      <c r="B11" s="7">
        <v>9</v>
      </c>
      <c r="C11" s="48">
        <v>1</v>
      </c>
      <c r="D11" s="8" t="s">
        <v>32</v>
      </c>
      <c r="E11" s="9" t="s">
        <v>9</v>
      </c>
      <c r="F11" s="9" t="s">
        <v>33</v>
      </c>
      <c r="G11" s="9" t="s">
        <v>34</v>
      </c>
      <c r="H11" s="9" t="s">
        <v>152</v>
      </c>
      <c r="I11" s="9" t="s">
        <v>153</v>
      </c>
      <c r="J11" s="9" t="s">
        <v>142</v>
      </c>
      <c r="K11" s="11" t="s">
        <v>12</v>
      </c>
      <c r="L11" t="str">
        <f t="shared" si="0"/>
        <v>rinor.baluyot@microchip.com</v>
      </c>
    </row>
    <row r="12" spans="2:12" x14ac:dyDescent="0.75">
      <c r="B12" s="7">
        <v>10</v>
      </c>
      <c r="C12" s="48">
        <v>1</v>
      </c>
      <c r="D12" s="14" t="s">
        <v>35</v>
      </c>
      <c r="E12" s="15" t="s">
        <v>36</v>
      </c>
      <c r="F12" s="15" t="s">
        <v>14</v>
      </c>
      <c r="G12" s="15" t="s">
        <v>15</v>
      </c>
      <c r="H12" s="15" t="s">
        <v>166</v>
      </c>
      <c r="I12" s="15" t="s">
        <v>168</v>
      </c>
      <c r="J12" s="15" t="s">
        <v>145</v>
      </c>
      <c r="K12" s="11" t="s">
        <v>12</v>
      </c>
      <c r="L12" t="str">
        <f t="shared" si="0"/>
        <v>rely.remo@microchip.com</v>
      </c>
    </row>
    <row r="13" spans="2:12" x14ac:dyDescent="0.75">
      <c r="B13" s="7">
        <v>11</v>
      </c>
      <c r="C13" s="48">
        <v>1</v>
      </c>
      <c r="D13" s="14" t="s">
        <v>37</v>
      </c>
      <c r="E13" s="15" t="s">
        <v>36</v>
      </c>
      <c r="F13" s="15" t="s">
        <v>24</v>
      </c>
      <c r="G13" s="15" t="s">
        <v>25</v>
      </c>
      <c r="H13" s="15" t="s">
        <v>161</v>
      </c>
      <c r="I13" s="15" t="s">
        <v>165</v>
      </c>
      <c r="J13" s="15" t="s">
        <v>145</v>
      </c>
      <c r="K13" s="11" t="s">
        <v>12</v>
      </c>
      <c r="L13" t="str">
        <f t="shared" si="0"/>
        <v>mark.insauriga@microchip.com</v>
      </c>
    </row>
    <row r="14" spans="2:12" x14ac:dyDescent="0.75">
      <c r="B14" s="7">
        <v>12</v>
      </c>
      <c r="C14" s="48">
        <v>1</v>
      </c>
      <c r="D14" s="14" t="s">
        <v>38</v>
      </c>
      <c r="E14" s="15" t="s">
        <v>36</v>
      </c>
      <c r="F14" s="15" t="s">
        <v>39</v>
      </c>
      <c r="G14" s="15" t="s">
        <v>40</v>
      </c>
      <c r="H14" s="15" t="s">
        <v>158</v>
      </c>
      <c r="I14" s="15" t="s">
        <v>157</v>
      </c>
      <c r="J14" s="15" t="s">
        <v>144</v>
      </c>
      <c r="K14" s="11" t="s">
        <v>12</v>
      </c>
      <c r="L14" t="str">
        <f t="shared" si="0"/>
        <v>julius.robles@microchip.com</v>
      </c>
    </row>
    <row r="15" spans="2:12" x14ac:dyDescent="0.75">
      <c r="B15" s="7">
        <v>13</v>
      </c>
      <c r="C15" s="48">
        <v>1</v>
      </c>
      <c r="D15" s="14" t="s">
        <v>41</v>
      </c>
      <c r="E15" s="15" t="s">
        <v>36</v>
      </c>
      <c r="F15" s="15" t="s">
        <v>42</v>
      </c>
      <c r="G15" s="15" t="s">
        <v>43</v>
      </c>
      <c r="H15" s="15" t="s">
        <v>154</v>
      </c>
      <c r="I15" s="15" t="s">
        <v>155</v>
      </c>
      <c r="J15" s="15" t="s">
        <v>105</v>
      </c>
      <c r="K15" s="11" t="s">
        <v>12</v>
      </c>
      <c r="L15" t="str">
        <f t="shared" si="0"/>
        <v>maria.theresa.ferrer@microchip.com</v>
      </c>
    </row>
    <row r="16" spans="2:12" x14ac:dyDescent="0.75">
      <c r="B16" s="7">
        <v>14</v>
      </c>
      <c r="C16" s="48">
        <v>1</v>
      </c>
      <c r="D16" s="14" t="s">
        <v>44</v>
      </c>
      <c r="E16" s="15" t="s">
        <v>36</v>
      </c>
      <c r="F16" s="15" t="s">
        <v>27</v>
      </c>
      <c r="G16" s="15" t="s">
        <v>28</v>
      </c>
      <c r="H16" s="15" t="s">
        <v>162</v>
      </c>
      <c r="I16" s="15" t="s">
        <v>163</v>
      </c>
      <c r="J16" s="15" t="s">
        <v>64</v>
      </c>
      <c r="K16" s="10" t="s">
        <v>16</v>
      </c>
      <c r="L16" t="str">
        <f t="shared" si="0"/>
        <v>myla.baided@microchip.com</v>
      </c>
    </row>
    <row r="17" spans="2:12" ht="15.5" thickBot="1" x14ac:dyDescent="0.9">
      <c r="B17" s="16">
        <v>15</v>
      </c>
      <c r="C17" s="48">
        <v>1</v>
      </c>
      <c r="D17" s="17" t="s">
        <v>40</v>
      </c>
      <c r="E17" s="18" t="s">
        <v>36</v>
      </c>
      <c r="F17" s="18" t="s">
        <v>39</v>
      </c>
      <c r="G17" s="18" t="s">
        <v>45</v>
      </c>
      <c r="H17" s="18" t="s">
        <v>164</v>
      </c>
      <c r="I17" s="18" t="s">
        <v>167</v>
      </c>
      <c r="J17" s="18" t="s">
        <v>125</v>
      </c>
      <c r="K17" s="19" t="s">
        <v>12</v>
      </c>
      <c r="L17" t="str">
        <f t="shared" si="0"/>
        <v>dennis.desacola@microchip.com</v>
      </c>
    </row>
    <row r="18" spans="2:12" x14ac:dyDescent="0.75">
      <c r="B18" s="44">
        <v>16</v>
      </c>
      <c r="C18" s="48">
        <v>1</v>
      </c>
      <c r="D18" s="45" t="s">
        <v>19</v>
      </c>
      <c r="E18" s="46" t="s">
        <v>46</v>
      </c>
      <c r="F18" s="46" t="s">
        <v>18</v>
      </c>
      <c r="G18" s="46" t="s">
        <v>47</v>
      </c>
      <c r="H18" s="47" t="s">
        <v>172</v>
      </c>
      <c r="I18" s="46"/>
      <c r="J18" s="46"/>
      <c r="K18" s="20" t="s">
        <v>12</v>
      </c>
      <c r="L18" t="str">
        <f t="shared" si="0"/>
        <v>flor.abayan@microchip.com</v>
      </c>
    </row>
    <row r="19" spans="2:12" x14ac:dyDescent="0.75">
      <c r="B19" s="21">
        <v>1</v>
      </c>
      <c r="C19" s="48">
        <v>1</v>
      </c>
      <c r="D19" s="38" t="s">
        <v>48</v>
      </c>
      <c r="E19" s="39" t="s">
        <v>49</v>
      </c>
      <c r="F19" s="22" t="s">
        <v>50</v>
      </c>
      <c r="G19" s="22" t="s">
        <v>51</v>
      </c>
      <c r="H19" s="22" t="s">
        <v>171</v>
      </c>
      <c r="I19" s="22" t="s">
        <v>52</v>
      </c>
      <c r="J19" s="22" t="s">
        <v>53</v>
      </c>
      <c r="K19" s="20" t="s">
        <v>12</v>
      </c>
      <c r="L19" t="str">
        <f t="shared" si="0"/>
        <v>cristy.caringal@microchip.com</v>
      </c>
    </row>
    <row r="20" spans="2:12" x14ac:dyDescent="0.75">
      <c r="B20" s="21">
        <v>2</v>
      </c>
      <c r="C20" s="48">
        <v>1</v>
      </c>
      <c r="D20" s="38" t="s">
        <v>56</v>
      </c>
      <c r="E20" s="39" t="s">
        <v>49</v>
      </c>
      <c r="F20" s="22" t="s">
        <v>50</v>
      </c>
      <c r="G20" s="22" t="s">
        <v>57</v>
      </c>
      <c r="H20" s="22" t="s">
        <v>156</v>
      </c>
      <c r="I20" s="22" t="s">
        <v>157</v>
      </c>
      <c r="J20" s="22" t="s">
        <v>144</v>
      </c>
      <c r="K20" s="20" t="s">
        <v>12</v>
      </c>
      <c r="L20" t="str">
        <f t="shared" si="0"/>
        <v>joel.torio@microchip.com</v>
      </c>
    </row>
    <row r="21" spans="2:12" x14ac:dyDescent="0.75">
      <c r="B21" s="21">
        <v>3</v>
      </c>
      <c r="C21" s="48">
        <v>1</v>
      </c>
      <c r="D21" s="38" t="s">
        <v>54</v>
      </c>
      <c r="E21" s="39" t="s">
        <v>49</v>
      </c>
      <c r="F21" s="23" t="s">
        <v>55</v>
      </c>
      <c r="G21" s="22" t="s">
        <v>43</v>
      </c>
      <c r="H21" s="22" t="s">
        <v>159</v>
      </c>
      <c r="I21" s="22" t="s">
        <v>160</v>
      </c>
      <c r="J21" s="22" t="s">
        <v>101</v>
      </c>
      <c r="K21" s="20" t="s">
        <v>12</v>
      </c>
      <c r="L21" t="str">
        <f t="shared" si="0"/>
        <v>glenmore.gabuay@microchip.com</v>
      </c>
    </row>
    <row r="22" spans="2:12" x14ac:dyDescent="0.75">
      <c r="B22" s="21">
        <v>4</v>
      </c>
      <c r="C22" s="48">
        <v>1</v>
      </c>
      <c r="D22" s="38" t="s">
        <v>80</v>
      </c>
      <c r="E22" s="39" t="s">
        <v>49</v>
      </c>
      <c r="F22" s="40" t="s">
        <v>39</v>
      </c>
      <c r="G22" s="22" t="s">
        <v>59</v>
      </c>
      <c r="H22" s="22" t="s">
        <v>159</v>
      </c>
      <c r="I22" s="22" t="s">
        <v>160</v>
      </c>
      <c r="J22" s="22" t="s">
        <v>101</v>
      </c>
      <c r="K22" s="10" t="s">
        <v>16</v>
      </c>
      <c r="L22" t="str">
        <f t="shared" si="0"/>
        <v>marlon.aquino@microchip.com</v>
      </c>
    </row>
    <row r="23" spans="2:12" x14ac:dyDescent="0.75">
      <c r="B23" s="21">
        <v>5</v>
      </c>
      <c r="C23" s="48">
        <v>1</v>
      </c>
      <c r="D23" s="38" t="s">
        <v>58</v>
      </c>
      <c r="E23" s="39" t="s">
        <v>49</v>
      </c>
      <c r="F23" s="40" t="s">
        <v>39</v>
      </c>
      <c r="G23" s="22" t="s">
        <v>59</v>
      </c>
      <c r="H23" s="22" t="s">
        <v>156</v>
      </c>
      <c r="I23" s="22" t="s">
        <v>157</v>
      </c>
      <c r="J23" s="22" t="s">
        <v>144</v>
      </c>
      <c r="K23" s="20" t="s">
        <v>12</v>
      </c>
      <c r="L23" t="str">
        <f t="shared" si="0"/>
        <v>roland.barrientos@microchip.com</v>
      </c>
    </row>
    <row r="24" spans="2:12" x14ac:dyDescent="0.75">
      <c r="B24" s="21">
        <v>6</v>
      </c>
      <c r="C24" s="48">
        <v>1</v>
      </c>
      <c r="D24" s="38" t="s">
        <v>60</v>
      </c>
      <c r="E24" s="39" t="s">
        <v>49</v>
      </c>
      <c r="F24" s="40" t="s">
        <v>39</v>
      </c>
      <c r="G24" s="22" t="s">
        <v>59</v>
      </c>
      <c r="H24" s="22" t="s">
        <v>156</v>
      </c>
      <c r="I24" s="22" t="s">
        <v>157</v>
      </c>
      <c r="J24" s="22" t="s">
        <v>144</v>
      </c>
      <c r="K24" s="20" t="s">
        <v>12</v>
      </c>
      <c r="L24" t="str">
        <f t="shared" si="0"/>
        <v>adriano.ancheta@microchip.com</v>
      </c>
    </row>
    <row r="25" spans="2:12" x14ac:dyDescent="0.75">
      <c r="B25" s="21">
        <v>7</v>
      </c>
      <c r="C25" s="48">
        <v>1</v>
      </c>
      <c r="D25" s="41" t="s">
        <v>25</v>
      </c>
      <c r="E25" s="39" t="s">
        <v>49</v>
      </c>
      <c r="F25" s="22" t="s">
        <v>24</v>
      </c>
      <c r="G25" s="22" t="s">
        <v>43</v>
      </c>
      <c r="H25" s="22" t="s">
        <v>175</v>
      </c>
      <c r="I25" s="22" t="s">
        <v>176</v>
      </c>
      <c r="J25" s="22" t="s">
        <v>145</v>
      </c>
      <c r="K25" s="20" t="s">
        <v>12</v>
      </c>
      <c r="L25" t="str">
        <f t="shared" si="0"/>
        <v>reina.abrilla@microchip.com</v>
      </c>
    </row>
    <row r="26" spans="2:12" x14ac:dyDescent="0.75">
      <c r="B26" s="21">
        <v>8</v>
      </c>
      <c r="C26" s="48">
        <v>1</v>
      </c>
      <c r="D26" s="41" t="s">
        <v>61</v>
      </c>
      <c r="E26" s="39" t="s">
        <v>49</v>
      </c>
      <c r="F26" s="23" t="s">
        <v>27</v>
      </c>
      <c r="G26" s="23" t="s">
        <v>28</v>
      </c>
      <c r="H26" s="23" t="s">
        <v>62</v>
      </c>
      <c r="I26" s="23" t="s">
        <v>63</v>
      </c>
      <c r="J26" s="23" t="s">
        <v>64</v>
      </c>
      <c r="K26" s="20" t="s">
        <v>12</v>
      </c>
      <c r="L26" t="str">
        <f t="shared" si="0"/>
        <v>kristine.lumapas@microchip.com</v>
      </c>
    </row>
    <row r="27" spans="2:12" x14ac:dyDescent="0.75">
      <c r="B27" s="21">
        <v>9</v>
      </c>
      <c r="C27" s="48">
        <v>1</v>
      </c>
      <c r="D27" s="41" t="s">
        <v>65</v>
      </c>
      <c r="E27" s="39" t="s">
        <v>49</v>
      </c>
      <c r="F27" s="22" t="s">
        <v>66</v>
      </c>
      <c r="G27" s="22" t="s">
        <v>67</v>
      </c>
      <c r="H27" s="23" t="s">
        <v>62</v>
      </c>
      <c r="I27" s="23" t="s">
        <v>63</v>
      </c>
      <c r="J27" s="23" t="s">
        <v>64</v>
      </c>
      <c r="K27" s="20" t="s">
        <v>12</v>
      </c>
      <c r="L27" t="str">
        <f t="shared" si="0"/>
        <v>angie-lyn.lawigan@microchip.com</v>
      </c>
    </row>
    <row r="28" spans="2:12" x14ac:dyDescent="0.75">
      <c r="B28" s="21">
        <v>10</v>
      </c>
      <c r="C28" s="48">
        <v>1</v>
      </c>
      <c r="D28" s="41" t="s">
        <v>68</v>
      </c>
      <c r="E28" s="39" t="s">
        <v>49</v>
      </c>
      <c r="F28" s="22" t="s">
        <v>66</v>
      </c>
      <c r="G28" s="22" t="s">
        <v>67</v>
      </c>
      <c r="H28" s="22" t="s">
        <v>162</v>
      </c>
      <c r="I28" s="22" t="s">
        <v>163</v>
      </c>
      <c r="J28" s="22" t="s">
        <v>64</v>
      </c>
      <c r="K28" s="20" t="s">
        <v>12</v>
      </c>
      <c r="L28" t="str">
        <f t="shared" si="0"/>
        <v>marife.cura.borgonos@microchip.com</v>
      </c>
    </row>
    <row r="29" spans="2:12" x14ac:dyDescent="0.75">
      <c r="B29" s="21">
        <v>11</v>
      </c>
      <c r="C29" s="48">
        <v>1</v>
      </c>
      <c r="D29" s="41" t="s">
        <v>69</v>
      </c>
      <c r="E29" s="39" t="s">
        <v>49</v>
      </c>
      <c r="F29" s="22" t="s">
        <v>18</v>
      </c>
      <c r="G29" s="22" t="s">
        <v>19</v>
      </c>
      <c r="H29" s="68" t="s">
        <v>169</v>
      </c>
      <c r="I29" s="22"/>
      <c r="J29" s="22"/>
      <c r="K29" s="20" t="s">
        <v>12</v>
      </c>
      <c r="L29" t="str">
        <f t="shared" si="0"/>
        <v>manilyn.lagumen@microchip.com</v>
      </c>
    </row>
    <row r="30" spans="2:12" x14ac:dyDescent="0.75">
      <c r="B30" s="21">
        <v>12</v>
      </c>
      <c r="C30" s="48">
        <v>1</v>
      </c>
      <c r="D30" s="41" t="s">
        <v>70</v>
      </c>
      <c r="E30" s="39" t="s">
        <v>49</v>
      </c>
      <c r="F30" s="40" t="s">
        <v>10</v>
      </c>
      <c r="G30" s="40" t="s">
        <v>8</v>
      </c>
      <c r="H30" s="22" t="s">
        <v>171</v>
      </c>
      <c r="I30" s="22" t="s">
        <v>52</v>
      </c>
      <c r="J30" s="22" t="s">
        <v>53</v>
      </c>
      <c r="K30" s="10" t="s">
        <v>16</v>
      </c>
      <c r="L30" t="str">
        <f t="shared" si="0"/>
        <v>criztel.bulatao@microchip.com</v>
      </c>
    </row>
    <row r="31" spans="2:12" x14ac:dyDescent="0.75">
      <c r="B31" s="21">
        <v>13</v>
      </c>
      <c r="C31" s="48">
        <v>1</v>
      </c>
      <c r="D31" s="41" t="s">
        <v>71</v>
      </c>
      <c r="E31" s="39" t="s">
        <v>49</v>
      </c>
      <c r="F31" s="40" t="s">
        <v>72</v>
      </c>
      <c r="G31" s="40" t="s">
        <v>73</v>
      </c>
      <c r="H31" s="40" t="s">
        <v>154</v>
      </c>
      <c r="I31" s="40" t="s">
        <v>155</v>
      </c>
      <c r="J31" s="40" t="s">
        <v>105</v>
      </c>
      <c r="K31" s="10" t="s">
        <v>16</v>
      </c>
      <c r="L31" t="str">
        <f t="shared" si="0"/>
        <v>laline.mamplata@microchip.com</v>
      </c>
    </row>
    <row r="32" spans="2:12" x14ac:dyDescent="0.75">
      <c r="B32" s="21">
        <v>14</v>
      </c>
      <c r="C32" s="48">
        <v>1</v>
      </c>
      <c r="D32" s="41" t="s">
        <v>74</v>
      </c>
      <c r="E32" s="39" t="s">
        <v>49</v>
      </c>
      <c r="F32" s="40" t="s">
        <v>10</v>
      </c>
      <c r="G32" s="40" t="s">
        <v>75</v>
      </c>
      <c r="H32" s="22" t="s">
        <v>166</v>
      </c>
      <c r="I32" s="40" t="s">
        <v>168</v>
      </c>
      <c r="J32" s="40" t="s">
        <v>145</v>
      </c>
      <c r="K32" s="10" t="s">
        <v>16</v>
      </c>
      <c r="L32" t="str">
        <f t="shared" si="0"/>
        <v>alvin.cabrera@microchip.com</v>
      </c>
    </row>
    <row r="33" spans="2:12" x14ac:dyDescent="0.75">
      <c r="B33" s="21">
        <v>15</v>
      </c>
      <c r="C33" s="48">
        <v>1</v>
      </c>
      <c r="D33" s="41" t="s">
        <v>76</v>
      </c>
      <c r="E33" s="39" t="s">
        <v>49</v>
      </c>
      <c r="F33" s="40" t="s">
        <v>39</v>
      </c>
      <c r="G33" s="40" t="s">
        <v>77</v>
      </c>
      <c r="H33" s="40" t="s">
        <v>162</v>
      </c>
      <c r="I33" s="40" t="s">
        <v>163</v>
      </c>
      <c r="J33" s="40" t="s">
        <v>64</v>
      </c>
      <c r="K33" s="10" t="s">
        <v>16</v>
      </c>
      <c r="L33" t="str">
        <f t="shared" si="0"/>
        <v>peter.paul.prado@microchip.com</v>
      </c>
    </row>
    <row r="34" spans="2:12" x14ac:dyDescent="0.75">
      <c r="B34" s="21">
        <v>16</v>
      </c>
      <c r="C34" s="48">
        <v>1</v>
      </c>
      <c r="D34" s="41" t="s">
        <v>78</v>
      </c>
      <c r="E34" s="39" t="s">
        <v>49</v>
      </c>
      <c r="F34" s="40" t="s">
        <v>39</v>
      </c>
      <c r="G34" s="22" t="s">
        <v>59</v>
      </c>
      <c r="H34" s="22" t="s">
        <v>158</v>
      </c>
      <c r="I34" s="22" t="s">
        <v>157</v>
      </c>
      <c r="J34" s="22" t="s">
        <v>144</v>
      </c>
      <c r="K34" s="10" t="s">
        <v>16</v>
      </c>
      <c r="L34" t="str">
        <f t="shared" si="0"/>
        <v>christopher.de.chavez@microchip.com</v>
      </c>
    </row>
    <row r="35" spans="2:12" x14ac:dyDescent="0.75">
      <c r="B35" s="21">
        <v>17</v>
      </c>
      <c r="C35" s="48">
        <v>1</v>
      </c>
      <c r="D35" s="41" t="s">
        <v>79</v>
      </c>
      <c r="E35" s="39" t="s">
        <v>49</v>
      </c>
      <c r="F35" s="40" t="s">
        <v>39</v>
      </c>
      <c r="G35" s="22" t="s">
        <v>59</v>
      </c>
      <c r="H35" s="22" t="s">
        <v>158</v>
      </c>
      <c r="I35" s="22" t="s">
        <v>157</v>
      </c>
      <c r="J35" s="22" t="s">
        <v>144</v>
      </c>
      <c r="K35" s="10" t="s">
        <v>16</v>
      </c>
      <c r="L35" t="str">
        <f t="shared" si="0"/>
        <v>jan.felix.cortel@microchip.com</v>
      </c>
    </row>
    <row r="36" spans="2:12" x14ac:dyDescent="0.75">
      <c r="B36" s="21">
        <v>18</v>
      </c>
      <c r="C36" s="48">
        <v>1</v>
      </c>
      <c r="D36" s="41" t="s">
        <v>81</v>
      </c>
      <c r="E36" s="39" t="s">
        <v>49</v>
      </c>
      <c r="F36" s="40" t="s">
        <v>82</v>
      </c>
      <c r="G36" s="40" t="s">
        <v>83</v>
      </c>
      <c r="H36" s="40" t="s">
        <v>154</v>
      </c>
      <c r="I36" s="40" t="s">
        <v>155</v>
      </c>
      <c r="J36" s="40" t="s">
        <v>105</v>
      </c>
      <c r="K36" s="20" t="s">
        <v>12</v>
      </c>
      <c r="L36" t="str">
        <f t="shared" si="0"/>
        <v>jackielyn.gajes@microchip.com</v>
      </c>
    </row>
    <row r="37" spans="2:12" x14ac:dyDescent="0.75">
      <c r="B37" s="21">
        <v>19</v>
      </c>
      <c r="C37" s="48">
        <v>1</v>
      </c>
      <c r="D37" s="41" t="s">
        <v>84</v>
      </c>
      <c r="E37" s="39" t="s">
        <v>49</v>
      </c>
      <c r="F37" s="40" t="s">
        <v>82</v>
      </c>
      <c r="G37" s="40" t="s">
        <v>85</v>
      </c>
      <c r="H37" s="40" t="s">
        <v>159</v>
      </c>
      <c r="I37" s="40" t="s">
        <v>160</v>
      </c>
      <c r="J37" s="40" t="s">
        <v>101</v>
      </c>
      <c r="K37" s="20" t="s">
        <v>12</v>
      </c>
      <c r="L37" t="str">
        <f t="shared" si="0"/>
        <v>janice.bagsit@microchip.com</v>
      </c>
    </row>
    <row r="38" spans="2:12" x14ac:dyDescent="0.75">
      <c r="B38" s="21">
        <v>20</v>
      </c>
      <c r="C38" s="48">
        <v>1</v>
      </c>
      <c r="D38" s="41" t="s">
        <v>86</v>
      </c>
      <c r="E38" s="39" t="s">
        <v>49</v>
      </c>
      <c r="F38" s="40" t="s">
        <v>10</v>
      </c>
      <c r="G38" s="40" t="s">
        <v>87</v>
      </c>
      <c r="H38" s="40" t="s">
        <v>88</v>
      </c>
      <c r="I38" s="40" t="s">
        <v>89</v>
      </c>
      <c r="J38" s="40" t="s">
        <v>90</v>
      </c>
      <c r="K38" s="10" t="s">
        <v>16</v>
      </c>
      <c r="L38" t="str">
        <f t="shared" si="0"/>
        <v>uldarico.delos.santos@microchip.com</v>
      </c>
    </row>
    <row r="39" spans="2:12" x14ac:dyDescent="0.75">
      <c r="B39" s="21">
        <v>21</v>
      </c>
      <c r="C39" s="48">
        <v>1</v>
      </c>
      <c r="D39" s="38" t="s">
        <v>91</v>
      </c>
      <c r="E39" s="39" t="s">
        <v>49</v>
      </c>
      <c r="F39" s="40" t="s">
        <v>10</v>
      </c>
      <c r="G39" s="40" t="s">
        <v>92</v>
      </c>
      <c r="H39" s="40" t="s">
        <v>164</v>
      </c>
      <c r="I39" s="40" t="s">
        <v>167</v>
      </c>
      <c r="J39" s="40" t="s">
        <v>125</v>
      </c>
      <c r="K39" s="10" t="s">
        <v>16</v>
      </c>
      <c r="L39" t="str">
        <f t="shared" si="0"/>
        <v>ronie.tapeno@microchip.com</v>
      </c>
    </row>
    <row r="40" spans="2:12" x14ac:dyDescent="0.75">
      <c r="B40" s="21">
        <v>22</v>
      </c>
      <c r="C40" s="48">
        <v>1</v>
      </c>
      <c r="D40" s="12" t="s">
        <v>93</v>
      </c>
      <c r="E40" s="12" t="s">
        <v>49</v>
      </c>
      <c r="F40" s="12" t="s">
        <v>94</v>
      </c>
      <c r="G40" s="12" t="s">
        <v>95</v>
      </c>
      <c r="H40" s="13" t="s">
        <v>30</v>
      </c>
      <c r="I40" s="13"/>
      <c r="J40" s="13"/>
      <c r="K40" s="10" t="s">
        <v>16</v>
      </c>
      <c r="L40" t="str">
        <f t="shared" si="0"/>
        <v>vincent.amos.cabanay@microchip.com</v>
      </c>
    </row>
    <row r="41" spans="2:12" x14ac:dyDescent="0.75">
      <c r="B41" s="21">
        <v>23</v>
      </c>
      <c r="C41" s="48">
        <v>1</v>
      </c>
      <c r="D41" s="38" t="s">
        <v>96</v>
      </c>
      <c r="E41" s="39" t="s">
        <v>49</v>
      </c>
      <c r="F41" s="40" t="s">
        <v>94</v>
      </c>
      <c r="G41" s="40" t="s">
        <v>97</v>
      </c>
      <c r="H41" s="40" t="s">
        <v>88</v>
      </c>
      <c r="I41" s="40" t="s">
        <v>89</v>
      </c>
      <c r="J41" s="40" t="s">
        <v>90</v>
      </c>
      <c r="K41" s="10" t="s">
        <v>16</v>
      </c>
      <c r="L41" t="str">
        <f t="shared" si="0"/>
        <v>renz.renan.caguimbal@microchip.com</v>
      </c>
    </row>
    <row r="43" spans="2:12" x14ac:dyDescent="0.75">
      <c r="J43" s="24" t="s">
        <v>12</v>
      </c>
      <c r="K43" s="25">
        <f>COUNTIF(K3:K41,"Present")</f>
        <v>24</v>
      </c>
    </row>
    <row r="44" spans="2:12" x14ac:dyDescent="0.75">
      <c r="J44" s="24" t="s">
        <v>16</v>
      </c>
      <c r="K44" s="25">
        <f>COUNTIF(K3:K41,"Absent")</f>
        <v>15</v>
      </c>
    </row>
    <row r="45" spans="2:12" x14ac:dyDescent="0.75">
      <c r="J45" s="24" t="s">
        <v>98</v>
      </c>
      <c r="K45" s="25">
        <f>K43+K44</f>
        <v>39</v>
      </c>
    </row>
    <row r="46" spans="2:12" x14ac:dyDescent="0.75">
      <c r="J46" s="24" t="s">
        <v>99</v>
      </c>
      <c r="K46" s="26">
        <f>K43/K45</f>
        <v>0.61538461538461542</v>
      </c>
    </row>
  </sheetData>
  <autoFilter ref="B2:K41" xr:uid="{61AD0ED2-D0F5-4F12-B7DA-1441DC57903C}"/>
  <pageMargins left="0.25" right="0.25" top="0.75" bottom="0.75" header="0.3" footer="0.3"/>
  <pageSetup scale="82" orientation="landscape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Not in the list" error="Your chosen KRA is not in the list. Contact the administrator" promptTitle="Specify projects KRA linkage" xr:uid="{70AD20A9-DF43-4228-B790-1922D5CAF9B4}">
          <x14:formula1>
            <xm:f>'KRA list'!$B$3:$B$55</xm:f>
          </x14:formula1>
          <xm:sqref>J3:J28 J30:J41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C6FED-4E97-4FB0-88CB-A53C94F7EBA3}">
  <dimension ref="B2:B55"/>
  <sheetViews>
    <sheetView showGridLines="0" workbookViewId="0"/>
  </sheetViews>
  <sheetFormatPr defaultRowHeight="14.75" x14ac:dyDescent="0.75"/>
  <cols>
    <col min="2" max="2" width="51.81640625" customWidth="1"/>
  </cols>
  <sheetData>
    <row r="2" spans="2:2" x14ac:dyDescent="0.75">
      <c r="B2" s="27" t="s">
        <v>100</v>
      </c>
    </row>
    <row r="3" spans="2:2" s="29" customFormat="1" ht="19.899999999999999" customHeight="1" x14ac:dyDescent="0.75">
      <c r="B3" s="28" t="s">
        <v>101</v>
      </c>
    </row>
    <row r="4" spans="2:2" s="29" customFormat="1" ht="19.899999999999999" customHeight="1" x14ac:dyDescent="0.75">
      <c r="B4" s="30" t="s">
        <v>102</v>
      </c>
    </row>
    <row r="5" spans="2:2" s="29" customFormat="1" ht="19.899999999999999" customHeight="1" x14ac:dyDescent="0.75">
      <c r="B5" s="30" t="s">
        <v>103</v>
      </c>
    </row>
    <row r="6" spans="2:2" s="29" customFormat="1" ht="19.899999999999999" customHeight="1" x14ac:dyDescent="0.75">
      <c r="B6" s="28" t="s">
        <v>104</v>
      </c>
    </row>
    <row r="7" spans="2:2" s="29" customFormat="1" ht="19.899999999999999" customHeight="1" x14ac:dyDescent="0.75">
      <c r="B7" s="28" t="s">
        <v>105</v>
      </c>
    </row>
    <row r="8" spans="2:2" s="29" customFormat="1" ht="19.899999999999999" customHeight="1" x14ac:dyDescent="0.75">
      <c r="B8" s="31" t="s">
        <v>106</v>
      </c>
    </row>
    <row r="9" spans="2:2" s="29" customFormat="1" ht="19.899999999999999" customHeight="1" x14ac:dyDescent="0.75">
      <c r="B9" s="28" t="s">
        <v>107</v>
      </c>
    </row>
    <row r="10" spans="2:2" s="29" customFormat="1" ht="19.899999999999999" customHeight="1" x14ac:dyDescent="0.75">
      <c r="B10" s="30" t="s">
        <v>108</v>
      </c>
    </row>
    <row r="11" spans="2:2" s="29" customFormat="1" ht="19.899999999999999" customHeight="1" x14ac:dyDescent="0.75">
      <c r="B11" s="30" t="s">
        <v>109</v>
      </c>
    </row>
    <row r="12" spans="2:2" s="29" customFormat="1" ht="19.899999999999999" customHeight="1" x14ac:dyDescent="0.75">
      <c r="B12" s="30" t="s">
        <v>110</v>
      </c>
    </row>
    <row r="13" spans="2:2" s="29" customFormat="1" ht="19.899999999999999" customHeight="1" x14ac:dyDescent="0.75">
      <c r="B13" s="30" t="s">
        <v>111</v>
      </c>
    </row>
    <row r="14" spans="2:2" s="29" customFormat="1" ht="19.899999999999999" customHeight="1" x14ac:dyDescent="0.75">
      <c r="B14" s="28" t="s">
        <v>112</v>
      </c>
    </row>
    <row r="15" spans="2:2" s="29" customFormat="1" ht="19.899999999999999" customHeight="1" x14ac:dyDescent="0.75">
      <c r="B15" s="28" t="s">
        <v>113</v>
      </c>
    </row>
    <row r="16" spans="2:2" s="29" customFormat="1" ht="19.899999999999999" customHeight="1" x14ac:dyDescent="0.75">
      <c r="B16" s="30" t="s">
        <v>114</v>
      </c>
    </row>
    <row r="17" spans="2:2" s="29" customFormat="1" ht="19.899999999999999" customHeight="1" x14ac:dyDescent="0.75">
      <c r="B17" s="30" t="s">
        <v>115</v>
      </c>
    </row>
    <row r="18" spans="2:2" s="29" customFormat="1" ht="19.899999999999999" customHeight="1" x14ac:dyDescent="0.75">
      <c r="B18" s="28" t="s">
        <v>116</v>
      </c>
    </row>
    <row r="19" spans="2:2" s="29" customFormat="1" ht="19.899999999999999" customHeight="1" x14ac:dyDescent="0.75">
      <c r="B19" s="28" t="s">
        <v>90</v>
      </c>
    </row>
    <row r="20" spans="2:2" s="29" customFormat="1" ht="19.899999999999999" customHeight="1" x14ac:dyDescent="0.75">
      <c r="B20" s="28" t="s">
        <v>117</v>
      </c>
    </row>
    <row r="21" spans="2:2" s="29" customFormat="1" ht="19.899999999999999" customHeight="1" x14ac:dyDescent="0.75">
      <c r="B21" s="28" t="s">
        <v>118</v>
      </c>
    </row>
    <row r="22" spans="2:2" s="29" customFormat="1" ht="19.899999999999999" customHeight="1" x14ac:dyDescent="0.75">
      <c r="B22" s="28" t="s">
        <v>119</v>
      </c>
    </row>
    <row r="23" spans="2:2" s="29" customFormat="1" ht="19.899999999999999" customHeight="1" x14ac:dyDescent="0.75">
      <c r="B23" s="28" t="s">
        <v>120</v>
      </c>
    </row>
    <row r="24" spans="2:2" s="29" customFormat="1" ht="19.899999999999999" customHeight="1" x14ac:dyDescent="0.75">
      <c r="B24" s="32" t="s">
        <v>121</v>
      </c>
    </row>
    <row r="25" spans="2:2" s="29" customFormat="1" ht="19.899999999999999" customHeight="1" x14ac:dyDescent="0.75">
      <c r="B25" s="28" t="s">
        <v>122</v>
      </c>
    </row>
    <row r="26" spans="2:2" s="29" customFormat="1" ht="19.899999999999999" customHeight="1" x14ac:dyDescent="0.75">
      <c r="B26" s="28" t="s">
        <v>123</v>
      </c>
    </row>
    <row r="27" spans="2:2" s="29" customFormat="1" ht="19.899999999999999" customHeight="1" x14ac:dyDescent="0.75">
      <c r="B27" s="28" t="s">
        <v>124</v>
      </c>
    </row>
    <row r="28" spans="2:2" s="29" customFormat="1" ht="19.899999999999999" customHeight="1" x14ac:dyDescent="0.75">
      <c r="B28" s="30" t="s">
        <v>125</v>
      </c>
    </row>
    <row r="29" spans="2:2" s="29" customFormat="1" ht="19.899999999999999" customHeight="1" x14ac:dyDescent="0.75">
      <c r="B29" s="30" t="s">
        <v>126</v>
      </c>
    </row>
    <row r="30" spans="2:2" s="29" customFormat="1" ht="19.899999999999999" customHeight="1" x14ac:dyDescent="0.75">
      <c r="B30" s="28" t="s">
        <v>127</v>
      </c>
    </row>
    <row r="31" spans="2:2" s="29" customFormat="1" ht="19.899999999999999" customHeight="1" x14ac:dyDescent="0.75">
      <c r="B31" s="30" t="s">
        <v>128</v>
      </c>
    </row>
    <row r="32" spans="2:2" s="29" customFormat="1" ht="19.899999999999999" customHeight="1" x14ac:dyDescent="0.75">
      <c r="B32" s="30" t="s">
        <v>129</v>
      </c>
    </row>
    <row r="33" spans="2:2" s="29" customFormat="1" ht="19.899999999999999" customHeight="1" x14ac:dyDescent="0.75">
      <c r="B33" s="28" t="s">
        <v>130</v>
      </c>
    </row>
    <row r="34" spans="2:2" s="29" customFormat="1" ht="19.899999999999999" customHeight="1" x14ac:dyDescent="0.75">
      <c r="B34" s="28" t="s">
        <v>131</v>
      </c>
    </row>
    <row r="35" spans="2:2" s="29" customFormat="1" ht="19.899999999999999" customHeight="1" x14ac:dyDescent="0.75">
      <c r="B35" s="31" t="s">
        <v>132</v>
      </c>
    </row>
    <row r="36" spans="2:2" s="29" customFormat="1" ht="19.899999999999999" customHeight="1" x14ac:dyDescent="0.75">
      <c r="B36" s="28" t="s">
        <v>133</v>
      </c>
    </row>
    <row r="37" spans="2:2" s="29" customFormat="1" ht="19.899999999999999" customHeight="1" x14ac:dyDescent="0.75">
      <c r="B37" s="33" t="s">
        <v>134</v>
      </c>
    </row>
    <row r="38" spans="2:2" s="29" customFormat="1" ht="19.899999999999999" customHeight="1" x14ac:dyDescent="0.75">
      <c r="B38" s="28" t="s">
        <v>135</v>
      </c>
    </row>
    <row r="39" spans="2:2" s="29" customFormat="1" ht="19.899999999999999" customHeight="1" x14ac:dyDescent="0.75">
      <c r="B39" s="32" t="s">
        <v>136</v>
      </c>
    </row>
    <row r="40" spans="2:2" s="29" customFormat="1" ht="19.899999999999999" customHeight="1" x14ac:dyDescent="0.75">
      <c r="B40" s="28" t="s">
        <v>137</v>
      </c>
    </row>
    <row r="41" spans="2:2" s="29" customFormat="1" ht="19.899999999999999" customHeight="1" x14ac:dyDescent="0.75">
      <c r="B41" s="28" t="s">
        <v>138</v>
      </c>
    </row>
    <row r="42" spans="2:2" s="29" customFormat="1" ht="19.899999999999999" customHeight="1" x14ac:dyDescent="0.75">
      <c r="B42" s="28" t="s">
        <v>139</v>
      </c>
    </row>
    <row r="43" spans="2:2" s="29" customFormat="1" ht="19.899999999999999" customHeight="1" x14ac:dyDescent="0.75">
      <c r="B43" s="28" t="s">
        <v>140</v>
      </c>
    </row>
    <row r="44" spans="2:2" s="29" customFormat="1" ht="19.899999999999999" customHeight="1" x14ac:dyDescent="0.75">
      <c r="B44" s="34" t="s">
        <v>141</v>
      </c>
    </row>
    <row r="45" spans="2:2" s="29" customFormat="1" ht="19.899999999999999" customHeight="1" x14ac:dyDescent="0.75">
      <c r="B45" s="34" t="s">
        <v>53</v>
      </c>
    </row>
    <row r="46" spans="2:2" s="29" customFormat="1" ht="19.899999999999999" customHeight="1" x14ac:dyDescent="0.75">
      <c r="B46" s="34" t="s">
        <v>142</v>
      </c>
    </row>
    <row r="47" spans="2:2" s="29" customFormat="1" ht="19.899999999999999" customHeight="1" x14ac:dyDescent="0.75">
      <c r="B47" s="30" t="s">
        <v>143</v>
      </c>
    </row>
    <row r="48" spans="2:2" s="29" customFormat="1" ht="19.899999999999999" customHeight="1" x14ac:dyDescent="0.75">
      <c r="B48" s="30" t="s">
        <v>144</v>
      </c>
    </row>
    <row r="49" spans="2:2" s="29" customFormat="1" ht="19.899999999999999" customHeight="1" x14ac:dyDescent="0.75">
      <c r="B49" s="30" t="s">
        <v>145</v>
      </c>
    </row>
    <row r="50" spans="2:2" s="29" customFormat="1" ht="19.899999999999999" customHeight="1" x14ac:dyDescent="0.75">
      <c r="B50" s="30" t="s">
        <v>146</v>
      </c>
    </row>
    <row r="51" spans="2:2" s="29" customFormat="1" ht="19.899999999999999" customHeight="1" x14ac:dyDescent="0.75">
      <c r="B51" s="35" t="s">
        <v>147</v>
      </c>
    </row>
    <row r="52" spans="2:2" s="29" customFormat="1" ht="19.899999999999999" customHeight="1" x14ac:dyDescent="0.75">
      <c r="B52" s="35" t="s">
        <v>148</v>
      </c>
    </row>
    <row r="53" spans="2:2" s="29" customFormat="1" ht="19.899999999999999" customHeight="1" x14ac:dyDescent="0.75">
      <c r="B53" s="30" t="s">
        <v>149</v>
      </c>
    </row>
    <row r="54" spans="2:2" s="29" customFormat="1" ht="19.899999999999999" customHeight="1" x14ac:dyDescent="0.75">
      <c r="B54" s="30" t="s">
        <v>150</v>
      </c>
    </row>
    <row r="55" spans="2:2" s="29" customFormat="1" ht="19.899999999999999" customHeight="1" x14ac:dyDescent="0.75">
      <c r="B55" s="30" t="s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Summary of Projects</vt:lpstr>
      <vt:lpstr>List of Practitioners</vt:lpstr>
      <vt:lpstr>KRA list</vt:lpstr>
      <vt:lpstr>'List of Practitioners'!Print_Area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Donald Cruz - A67331</dc:creator>
  <cp:lastModifiedBy>Donald Cruz - A67331</cp:lastModifiedBy>
  <cp:lastPrinted>2026-10-08T03:07:16Z</cp:lastPrinted>
  <dcterms:created xsi:type="dcterms:W3CDTF">2026-09-25T06:46:16Z</dcterms:created>
  <dcterms:modified xsi:type="dcterms:W3CDTF">2026-10-22T06:05:01Z</dcterms:modified>
</cp:coreProperties>
</file>