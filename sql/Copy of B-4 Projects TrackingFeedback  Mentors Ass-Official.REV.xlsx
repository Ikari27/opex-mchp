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67331\Downloads\"/>
    </mc:Choice>
  </mc:AlternateContent>
  <xr:revisionPtr revIDLastSave="0" documentId="8_{3E1E6875-8959-4E44-8D98-F226FC8691B1}" xr6:coauthVersionLast="47" xr6:coauthVersionMax="47" xr10:uidLastSave="{00000000-0000-0000-0000-000000000000}"/>
  <bookViews>
    <workbookView xWindow="-90" yWindow="-90" windowWidth="19380" windowHeight="11460" firstSheet="2" activeTab="2" xr2:uid="{BFF1874D-5CA0-4278-ADB7-80FE34C8EE70}"/>
  </bookViews>
  <sheets>
    <sheet name="Batch 4" sheetId="1" state="hidden" r:id="rId1"/>
    <sheet name="Leaders Members" sheetId="2" state="hidden" r:id="rId2"/>
    <sheet name="Training Hours" sheetId="9" r:id="rId3"/>
    <sheet name="Training Subject" sheetId="10" r:id="rId4"/>
    <sheet name="Summary" sheetId="6" state="hidden" r:id="rId5"/>
  </sheets>
  <definedNames>
    <definedName name="_xlnm._FilterDatabase" localSheetId="0" hidden="1">'Batch 4'!$A$3:$M$20</definedName>
    <definedName name="_xlnm._FilterDatabase" localSheetId="4" hidden="1">Summary!$B$2:$J$17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9" l="1"/>
  <c r="G25" i="9"/>
  <c r="G24" i="9"/>
  <c r="G23" i="9"/>
  <c r="G22" i="9"/>
  <c r="G21" i="9"/>
  <c r="G20" i="9"/>
  <c r="G19" i="9"/>
  <c r="G18" i="9"/>
  <c r="G17" i="9"/>
  <c r="G16" i="9"/>
  <c r="G15" i="9"/>
  <c r="G14" i="9"/>
  <c r="G13" i="9"/>
  <c r="G12" i="9"/>
  <c r="G11" i="9"/>
  <c r="G10" i="9"/>
  <c r="G8" i="9"/>
  <c r="G9" i="9"/>
  <c r="G7" i="9"/>
  <c r="G6" i="9"/>
  <c r="G5" i="9"/>
  <c r="G4" i="9"/>
</calcChain>
</file>

<file path=xl/sharedStrings.xml><?xml version="1.0" encoding="utf-8"?>
<sst xmlns="http://schemas.openxmlformats.org/spreadsheetml/2006/main" count="613" uniqueCount="340">
  <si>
    <t>No</t>
  </si>
  <si>
    <t>Project category</t>
  </si>
  <si>
    <t>Project Title</t>
  </si>
  <si>
    <t>Current Condition</t>
  </si>
  <si>
    <t>Idea Suggestions</t>
  </si>
  <si>
    <t>Area</t>
  </si>
  <si>
    <t>Leader by:</t>
  </si>
  <si>
    <t xml:space="preserve">Supervisor </t>
  </si>
  <si>
    <t>Manager</t>
  </si>
  <si>
    <t>With Training</t>
  </si>
  <si>
    <t xml:space="preserve">Status </t>
  </si>
  <si>
    <t xml:space="preserve"> Excess Meter per roll R of QFN 5x5 carrier tape. Based on actual usage , with 13meters and 17meters respectively for 5000 and 6000 BQM.</t>
  </si>
  <si>
    <t>Based on computation and actual usage ,MPR of QFN5x5  is excess based on produced number of reels. Sobra sobra yong natitira at tinatapon lang pero kasama sa binabayaran.</t>
  </si>
  <si>
    <t>Scan Operation - MPhil</t>
  </si>
  <si>
    <t>Rhoda Pacpaco - A42723</t>
  </si>
  <si>
    <t>Fernando Manalili - A42613</t>
  </si>
  <si>
    <t>Liza Jalos - A42531</t>
  </si>
  <si>
    <t>Fernando Manalili
Liza Jalos</t>
  </si>
  <si>
    <t>Yes</t>
  </si>
  <si>
    <t>With CIT Registration form</t>
  </si>
  <si>
    <t>PDCA Main</t>
  </si>
  <si>
    <t xml:space="preserve">Premature worn out of Rubber pads for CARA </t>
  </si>
  <si>
    <t xml:space="preserve">Weak and cannot cater hot temp </t>
  </si>
  <si>
    <t xml:space="preserve">Material improvement of Rubber pads </t>
  </si>
  <si>
    <t>Hardware FT</t>
  </si>
  <si>
    <t>Cristy Caringal</t>
  </si>
  <si>
    <t>Joel Torio - A68660</t>
  </si>
  <si>
    <t>Dennis Desacola - A42408</t>
  </si>
  <si>
    <t>Jeric Pantig
Lyn Garcia</t>
  </si>
  <si>
    <t>Rasco handlers singulator error related on singulator alignment issue</t>
  </si>
  <si>
    <t>Currently the singulator height is manually estimate the correct height adjustment until the correct alignment was acheive. (trial and error which is time consuming)</t>
  </si>
  <si>
    <t>Provide singulator alignment JIG, "its like a dummy unit made of aluminum material, with special height dimension per package that will load on the singulator track and it will serve as singulator height adjustment limiter. this will speedup the singulator alignment procedure and improve alingment accuracy. please refer on the attach file presentation</t>
  </si>
  <si>
    <t>Test Ops Equip&amp;Maint Analog</t>
  </si>
  <si>
    <t>Rodney Jose Banaticla - A42232</t>
  </si>
  <si>
    <t>Julio Robles - A18941</t>
  </si>
  <si>
    <t>Creating Hontech Setup Files to be used in ARTEMIS is prone to Error due to the Number of Setup Files and Number of Parameters.</t>
  </si>
  <si>
    <t>Manual Checking of Hontech Setup Files (More than 500 Setup Files now for Hontech and Counting!)</t>
  </si>
  <si>
    <t>Create a Checker Program to ensure that Hontech Setup Files are correct before uploading to the Server</t>
  </si>
  <si>
    <t>Singulated Test Maintenance</t>
  </si>
  <si>
    <t>Jan Felix Cortel - A52532</t>
  </si>
  <si>
    <t> Lhen Leslie Cometa</t>
  </si>
  <si>
    <t xml:space="preserve">With CIT Registration form for documentation' </t>
  </si>
  <si>
    <t>PDCA Lite</t>
  </si>
  <si>
    <t>Automatic reading of PFBT from production report</t>
  </si>
  <si>
    <t>written in PI-35047 under clause 6.2.1 : 5. Record Minimum, Maximum and Mean/Average of results in LTC.</t>
  </si>
  <si>
    <t>R8 automatically upload the results of PBFT lot track in and display the readings on note of transacted lot, if th PBFT is not perform before rack in it will display for ‘’ Wait PBFT Result’’</t>
  </si>
  <si>
    <t>Dennis Dhave Umali A63226/</t>
  </si>
  <si>
    <t>Marlon Senar - A42854</t>
  </si>
  <si>
    <t>Conrado Laumoc
Marlon Senar</t>
  </si>
  <si>
    <t>Implemented/ For documentation</t>
  </si>
  <si>
    <t>Occurrence of Non Value added activities at Wafer Probe IQA and different practice at MTAI Wafer Probe and MPHIL  Wafer Probe</t>
  </si>
  <si>
    <t>Incoming inspection are being done on ALL  lots from FAB (GRSM, TMPE, CSO) and Foundry (TSMC, UMC).</t>
  </si>
  <si>
    <t>Reduction of NVA activities at incoming and MTHAI ​Alignment.</t>
  </si>
  <si>
    <t>Quality Assurance - MPhil</t>
  </si>
  <si>
    <t>Mylene Jugueta - A74845</t>
  </si>
  <si>
    <t>Elsa Dotong - A42427</t>
  </si>
  <si>
    <t>Parichart Khunsoongnern - B03634</t>
  </si>
  <si>
    <t xml:space="preserve"> Paul Vladimir Virgilio Valdez </t>
  </si>
  <si>
    <r>
      <t> </t>
    </r>
    <r>
      <rPr>
        <sz val="9"/>
        <color rgb="FF000000"/>
        <rFont val="Calibri"/>
        <family val="2"/>
      </rPr>
      <t xml:space="preserve">With PDCA Lite Form </t>
    </r>
  </si>
  <si>
    <t xml:space="preserve">PDCA Main </t>
  </si>
  <si>
    <t>Over pad rejections</t>
  </si>
  <si>
    <t>*This has a significant impact on the utilization and downtime contributors of the machines.
*Encountered a damaged pad device from FT, resulting in excessive pad rejections such as pad gap, excess pad, pad burr, and discoloration.</t>
  </si>
  <si>
    <t>*feed back to FT due to gross rejection at scan machines and its helps to improved our scan utilizations and less down time.</t>
  </si>
  <si>
    <t>Herson Adones - A67479</t>
  </si>
  <si>
    <t xml:space="preserve">With CIT Registration Form </t>
  </si>
  <si>
    <t xml:space="preserve">Incomplete fill out of forms used in production line. Forms to complex and </t>
  </si>
  <si>
    <t xml:space="preserve">Form are being left unfinished due to confusions. </t>
  </si>
  <si>
    <t xml:space="preserve">Review all forms, clarify all confusions with stakeholders and revise with all aspects considered and make sure to finish completion within request of activity. </t>
  </si>
  <si>
    <t>Test Ops Process Eng</t>
  </si>
  <si>
    <t>Paolo Nicholas Yutuc - A68312</t>
  </si>
  <si>
    <t>Donald Cruz - A67331</t>
  </si>
  <si>
    <t>Imelda Cruz - A42348</t>
  </si>
  <si>
    <t xml:space="preserve">With PDCA Lite Form </t>
  </si>
  <si>
    <t xml:space="preserve">No full proof ESD check prior entering to FA lab. This will also enable paperless ESD check recording. </t>
  </si>
  <si>
    <t>Currently running</t>
  </si>
  <si>
    <t>Incorporate ESD check data logger to Door access.</t>
  </si>
  <si>
    <t>Failure &amp; Reliability - Mphil</t>
  </si>
  <si>
    <t>Erwin Toribio - A50275</t>
  </si>
  <si>
    <t>Daniel Ano - A19441</t>
  </si>
  <si>
    <t>Nerwin Beronio - A42263</t>
  </si>
  <si>
    <t xml:space="preserve">PDCA Lite </t>
  </si>
  <si>
    <t>Need to print wafer map for the affected wafer/s. If 10 wafers ang affected ng defect sa isang lote 10 lintfree na ang magagamit (as of now cost cutting ang microchip).</t>
  </si>
  <si>
    <t>Mapeditor to print wafer map for the affected wafer/s before inspection (this is part of Mapedit Specs PI-91492). Sa print out map mag "tara" ng for FFAD, then once matapos sa inspection  proceed sa  system edit  using mapedit software to update wafer map on nextwafervision. After  system edit ia-attached sa lote ang printed map.</t>
  </si>
  <si>
    <t>Direct editing @ mapedit Software, and no need to print wafer map. QA inspector can use Nextwafervision (to view wafer map), PNR (affected wafer &amp; type of defect), NCRB (fab related) &amp; MES (comment ng mapeditor)  to check every details of the lot.</t>
  </si>
  <si>
    <t>Probe Operations</t>
  </si>
  <si>
    <t>Stephanie Enriquez - A18672</t>
  </si>
  <si>
    <t>Myra Arcaya - A42198</t>
  </si>
  <si>
    <t>Tek Go - A42491</t>
  </si>
  <si>
    <t>Eli Rapisora
Joan Binaluyo</t>
  </si>
  <si>
    <t xml:space="preserve">Maximum touchdown of Ink Cartridge at Inking Process only 60k but upon observation still have a lot of Ink left at the tube cartridge. At the same time ink dot condition still accept base on criteria. </t>
  </si>
  <si>
    <t xml:space="preserve">When we reached 60k maximum touchdown need to replace a new cartridge to follow the specs. </t>
  </si>
  <si>
    <t>To max out the usage of Ink Cartridge per tube.</t>
  </si>
  <si>
    <t>Analog Probe Operations</t>
  </si>
  <si>
    <t>Marilou Mendoza</t>
  </si>
  <si>
    <t>Verna Voces A42942</t>
  </si>
  <si>
    <t>Verna Voces A42942
Myla Baided</t>
  </si>
  <si>
    <t>"Plan for ATO FT for FY2025 delivery is 3M to 4M units per week. Test production required to use LN2 tank for cold and regulated temperature with a rental of 52 tanks per month with (Rental cost 1 LN2 tank / 3,500php _ 52 LN2 tanks = 182,000php).“</t>
  </si>
  <si>
    <t>Over quantity of LN2 tanks in production area.</t>
  </si>
  <si>
    <t>Due to low volume, the plan for FY2026 is below 2M per week and needs only ~30 tank per day. 
The production cost will reduce from 182,000 PHP for 52 LN2 tanks to 105,000 PHP for 30 LN2 tanks for the rental cost, and we could save 77,000 PHP per month and a total of 924,000 PHP in a year.</t>
  </si>
  <si>
    <t>Analog Test Operations</t>
  </si>
  <si>
    <t>Roger Magpayo - A42601</t>
  </si>
  <si>
    <t>Judy Hugo - A42521</t>
  </si>
  <si>
    <t xml:space="preserve">high occurence rate of quality-related issues in STO Final Test line </t>
  </si>
  <si>
    <t>an average of 0.8% rate per 12-month data gathered in average of 686.25 (687) lots transferred to SCAN.
Means an average of 5 lots affected of discrepancy per month.</t>
  </si>
  <si>
    <t>reduction of quality-related issues in Final Test STO Line [CIT project]</t>
  </si>
  <si>
    <t>STO</t>
  </si>
  <si>
    <t>Adrian William Fajardo - A42454</t>
  </si>
  <si>
    <t>Rr Roque - A42815</t>
  </si>
  <si>
    <t>The manual sticker generation of canister label are prone to miscounts, errors, and delays. It demands high user effort,slows down operations, becomes harder to manage as volume increases,and limits traceability due to inconsistent or missing sticker nos.</t>
  </si>
  <si>
    <t>Currently, sticker numbering is done manually, requiring users to count and determine the number of stickers to print based on strip or unit quantity. This process is prone to miscounts, slow due to manual calculations, human-dependent, and results in limited traceability due to inconsistent labeling.</t>
  </si>
  <si>
    <t>In contrast, an automated system improves accuracy and speed by automatically generating sticker labels (e.g., "1/2", "2/2") based on lot quantity. This reduces user workload, scales easily, and significantly enhances traceability for current and subsequent processes.</t>
  </si>
  <si>
    <t>Strip Test Oper - MPhil</t>
  </si>
  <si>
    <t>Bryan Nunez - A42700</t>
  </si>
  <si>
    <t>Reina Abrilla - A67335</t>
  </si>
  <si>
    <t>Reduction of Final Test Summary Paper Print Outs thru  OTSR</t>
  </si>
  <si>
    <t>Final Test</t>
  </si>
  <si>
    <t>Neilvin Remo</t>
  </si>
  <si>
    <t>Thess Ferrer</t>
  </si>
  <si>
    <t>Continuation of project from Batch3</t>
  </si>
  <si>
    <t>OPOD Improvement</t>
  </si>
  <si>
    <t>Production Control</t>
  </si>
  <si>
    <t>Hermi Alcoran</t>
  </si>
  <si>
    <t>Sally Sander</t>
  </si>
  <si>
    <t>75016 assembly transfer to MTAI lifted ball issue after Rel stress</t>
  </si>
  <si>
    <t>Failure &amp; Reliability</t>
  </si>
  <si>
    <t>Janice Dean</t>
  </si>
  <si>
    <t xml:space="preserve">
Charlie Estela - A42443</t>
  </si>
  <si>
    <t>Junejeb Payos</t>
  </si>
  <si>
    <t>Project Category:</t>
  </si>
  <si>
    <t>Project Title:</t>
  </si>
  <si>
    <t>QFN 5X5 Carrier tape Cost Reduction</t>
  </si>
  <si>
    <t>Cara Rubber Pads Improvement</t>
  </si>
  <si>
    <t>Rasco SO2000,SO1800 and SO28000 Singulator Alignment Jig</t>
  </si>
  <si>
    <t>Hontech Artemis Setup File Checker</t>
  </si>
  <si>
    <t>Maximize usage of 6993</t>
  </si>
  <si>
    <t>Reduction of Quality related isues in the production line</t>
  </si>
  <si>
    <t xml:space="preserve">Enhancement of Final Test LM Forms </t>
  </si>
  <si>
    <t>Zero Paper Innovator</t>
  </si>
  <si>
    <t>ESD Door Access Control</t>
  </si>
  <si>
    <t xml:space="preserve"> Automation of PBFT Data Encoding and Result Retrieval
Packages: All</t>
  </si>
  <si>
    <t>Reduction of NVA IQA at incoming</t>
  </si>
  <si>
    <t>Canister Label Automated System – Integrated with MES and the Ring Frame Management System.</t>
  </si>
  <si>
    <t>Mentors</t>
  </si>
  <si>
    <t xml:space="preserve">Jeric Pantig
</t>
  </si>
  <si>
    <t>Alma Fontanilla</t>
  </si>
  <si>
    <t>Lhen Leslie Cometa - A42338</t>
  </si>
  <si>
    <t>Conrado Laumoc
Thess ferrer</t>
  </si>
  <si>
    <t xml:space="preserve">Nerwin Beronio </t>
  </si>
  <si>
    <t>Paul Vladimir Virgilio Valdez</t>
  </si>
  <si>
    <t>Elaine Porras</t>
  </si>
  <si>
    <t>Leader:</t>
  </si>
  <si>
    <t>Maria Crisanta A. Caringal</t>
  </si>
  <si>
    <t>Marilou Mendoza - A42664</t>
  </si>
  <si>
    <t>Ema Ramos - A42788</t>
  </si>
  <si>
    <t xml:space="preserve">Paolo Yutuc </t>
  </si>
  <si>
    <t>Stephanie Enriquez</t>
  </si>
  <si>
    <t>Erwin Toribio</t>
  </si>
  <si>
    <t>Dennis Dhave Umali - A63226</t>
  </si>
  <si>
    <t xml:space="preserve">Bryan Nuñez </t>
  </si>
  <si>
    <t>Members</t>
  </si>
  <si>
    <t>Lemuel Camporedondo - A50461</t>
  </si>
  <si>
    <t>John Lester Layon</t>
  </si>
  <si>
    <t>Teoddy Tamayo - A42882</t>
  </si>
  <si>
    <t>Henree Cajucom - A69070</t>
  </si>
  <si>
    <t>Romnick Nipolo - A71891</t>
  </si>
  <si>
    <t>Edlyn Flores - A18636</t>
  </si>
  <si>
    <t>Avegail De Ramon - A42381</t>
  </si>
  <si>
    <t>Adrian Fajardo</t>
  </si>
  <si>
    <r>
      <t>Prescila Ali</t>
    </r>
    <r>
      <rPr>
        <b/>
        <sz val="12"/>
        <rFont val="Aptos Narrow"/>
        <family val="2"/>
        <scheme val="minor"/>
      </rPr>
      <t>ñ</t>
    </r>
    <r>
      <rPr>
        <sz val="12"/>
        <rFont val="Aptos Narrow"/>
        <family val="2"/>
        <scheme val="minor"/>
      </rPr>
      <t>o</t>
    </r>
  </si>
  <si>
    <t xml:space="preserve">Dexter Jed Matibag </t>
  </si>
  <si>
    <t>Oscarlito Magsalin</t>
  </si>
  <si>
    <t>Daisy  Sulit</t>
  </si>
  <si>
    <t xml:space="preserve">Riza Camacho </t>
  </si>
  <si>
    <t>Christian Elegio</t>
  </si>
  <si>
    <t>Hazel Javier - A42537</t>
  </si>
  <si>
    <t>Mabelle Sarmiento</t>
  </si>
  <si>
    <t>Roland Barrientos - A42239</t>
  </si>
  <si>
    <t>Arvin Dave Traballo - A65157</t>
  </si>
  <si>
    <t>Jayar Gogola - A77169</t>
  </si>
  <si>
    <t>Ana Flor Rebato - A50261</t>
  </si>
  <si>
    <t>Glenda Patiten - A67189</t>
  </si>
  <si>
    <t xml:space="preserve">Greg Rivera </t>
  </si>
  <si>
    <t xml:space="preserve">Eva Platero </t>
  </si>
  <si>
    <t xml:space="preserve">Aldin Sombero </t>
  </si>
  <si>
    <t>Jayar Gogola</t>
  </si>
  <si>
    <t>Sanrio Mendoza</t>
  </si>
  <si>
    <t xml:space="preserve">Melody Paliza </t>
  </si>
  <si>
    <t>Edmar Ballesteros</t>
  </si>
  <si>
    <t>Rosela San Juan - A42837</t>
  </si>
  <si>
    <t>Narcy Catibog</t>
  </si>
  <si>
    <t>Greg Rivera - A42806</t>
  </si>
  <si>
    <t>Margeleth Abelda - A50204</t>
  </si>
  <si>
    <t>Jessalou Pelostratos - A44957</t>
  </si>
  <si>
    <t>Raymark Tatel - A50067</t>
  </si>
  <si>
    <t>Monaliza Presbitero - A50374</t>
  </si>
  <si>
    <t xml:space="preserve">Thave Ebora </t>
  </si>
  <si>
    <t xml:space="preserve">Sonny Gambala </t>
  </si>
  <si>
    <t>JayR Cayabyab</t>
  </si>
  <si>
    <t>Agustine Quichon</t>
  </si>
  <si>
    <t>Angel Ramos</t>
  </si>
  <si>
    <t>Romnex Entienza</t>
  </si>
  <si>
    <t>Dexter Flores</t>
  </si>
  <si>
    <t>Ramel Taraya</t>
  </si>
  <si>
    <t>Vernadith Alcantara - A64361</t>
  </si>
  <si>
    <t>Angel Almonte - A45373</t>
  </si>
  <si>
    <t>Jennifer Abragante - A42899</t>
  </si>
  <si>
    <t xml:space="preserve">Arjay Dacusan </t>
  </si>
  <si>
    <t>Jhoan Baglacsa</t>
  </si>
  <si>
    <t>Mary Ann Servandil</t>
  </si>
  <si>
    <t>Justin Cabillas</t>
  </si>
  <si>
    <t>Jennifer Santos - A30284</t>
  </si>
  <si>
    <t>John Paul Falcotelo</t>
  </si>
  <si>
    <t>Lorna Formalejo - A18595</t>
  </si>
  <si>
    <t>JohnLouis Belda - A71899</t>
  </si>
  <si>
    <t>Alimer Arroyo</t>
  </si>
  <si>
    <t>Allan Arcedera - A42199</t>
  </si>
  <si>
    <t>Marvin De Leon</t>
  </si>
  <si>
    <t>Janice Sinampayan - A42860</t>
  </si>
  <si>
    <t>Guillermo Sepato - A50180</t>
  </si>
  <si>
    <t xml:space="preserve">Gippy Tanguan </t>
  </si>
  <si>
    <t>Delia Romero - A76265</t>
  </si>
  <si>
    <t>Greg Rivera</t>
  </si>
  <si>
    <t>Dexter Zesar Canalita - A62560</t>
  </si>
  <si>
    <t>Primitiva Alpajora - A19550</t>
  </si>
  <si>
    <t>Manel Presilda - A69395</t>
  </si>
  <si>
    <t>Mark Jiego Talavera - A62838</t>
  </si>
  <si>
    <t>Conrado Laumoc/Maurice Mendoza</t>
  </si>
  <si>
    <t> Nerwin Beronio/Matt Enriquez</t>
  </si>
  <si>
    <t>Team Name</t>
  </si>
  <si>
    <t>Current Step-as of Oct 22</t>
  </si>
  <si>
    <t>On-going Step 2</t>
  </si>
  <si>
    <t>On-going Step 6</t>
  </si>
  <si>
    <t>Rhoda Pacpaco</t>
  </si>
  <si>
    <t xml:space="preserve">Adrian William Fajardo </t>
  </si>
  <si>
    <t>MAIN</t>
  </si>
  <si>
    <t>Dennis Dhave Umali</t>
  </si>
  <si>
    <t>LITE</t>
  </si>
  <si>
    <t>Roger Magpayo</t>
  </si>
  <si>
    <t>Judy Hugo</t>
  </si>
  <si>
    <t>Bryan Nunez</t>
  </si>
  <si>
    <t>LEADER</t>
  </si>
  <si>
    <t>MENTOR/S</t>
  </si>
  <si>
    <t>TEAM NAME</t>
  </si>
  <si>
    <t xml:space="preserve">Rodney Jose Banaticla </t>
  </si>
  <si>
    <t xml:space="preserve">Jan Felix Cortel </t>
  </si>
  <si>
    <t>Jeric Pantig/
Lyn Garcia</t>
  </si>
  <si>
    <t>Conrado Laumoc/
Maurice Mendoza</t>
  </si>
  <si>
    <t>Conrado Laumoc/
Marlon Senar</t>
  </si>
  <si>
    <t>Verna Voces/
Myla Baided</t>
  </si>
  <si>
    <t>Eli Rapisora/
Joan Binaluyo</t>
  </si>
  <si>
    <t>CARA CRUS</t>
  </si>
  <si>
    <t>SCAN SAVING SQUAD</t>
  </si>
  <si>
    <t>INK REDUCER</t>
  </si>
  <si>
    <t>QUALI-REDZ</t>
  </si>
  <si>
    <t>BELIEVERS</t>
  </si>
  <si>
    <t>ZERO PAPER INNOVATORS</t>
  </si>
  <si>
    <t>Canister Label Automated System – Integrated with MES and the Ring Frame Management System</t>
  </si>
  <si>
    <t>BOND, REL BOND! AGENT 75K</t>
  </si>
  <si>
    <t>PADCAST</t>
  </si>
  <si>
    <t>ST AMENDERS</t>
  </si>
  <si>
    <t>TEAM JIGGER</t>
  </si>
  <si>
    <t>MENTORS</t>
  </si>
  <si>
    <t>Conrado Laumoc</t>
  </si>
  <si>
    <t>Jeric Pantig</t>
  </si>
  <si>
    <t>Lendale Anonat</t>
  </si>
  <si>
    <t>Liza Jalos</t>
  </si>
  <si>
    <t>Lyn Garcia</t>
  </si>
  <si>
    <t>Maurice Mendoza</t>
  </si>
  <si>
    <t>Nerwin Beronio</t>
  </si>
  <si>
    <t>Rosalie Sander</t>
  </si>
  <si>
    <t>Verna Voces</t>
  </si>
  <si>
    <t>Joan Binaluyo</t>
  </si>
  <si>
    <t>Eleonor Rapisora</t>
  </si>
  <si>
    <t>Melody Paliza</t>
  </si>
  <si>
    <t>Myla Baided</t>
  </si>
  <si>
    <t>Marlon Senar</t>
  </si>
  <si>
    <t>FA ESD Team</t>
  </si>
  <si>
    <t>Ferdie Manalili/
Thess Ferrer</t>
  </si>
  <si>
    <t>CARRIER TAPE COST SAVINGS</t>
  </si>
  <si>
    <t>CARA RUBBER PADS</t>
  </si>
  <si>
    <t xml:space="preserve"> RASCO SINGULATOR ALIGNMENT JIG</t>
  </si>
  <si>
    <t>OVER PAD REJECTIONS</t>
  </si>
  <si>
    <t xml:space="preserve">
MAXIMIZE USAGE OF 6993 INK</t>
  </si>
  <si>
    <t>STO PROD QUALITY REDUCTION</t>
  </si>
  <si>
    <t xml:space="preserve">75016 ASSEMBLY TRANSFER TO MTAI LIFTED BALL ISSUE AFTER REL PROCESS </t>
  </si>
  <si>
    <t>HENTECH</t>
  </si>
  <si>
    <t>REDUCE PRODUCTION COSTS for LN2 TANK RENTAL</t>
  </si>
  <si>
    <t>OPOD IMPROVEMENT</t>
  </si>
  <si>
    <t>TIK TOK TANK</t>
  </si>
  <si>
    <t>Paolo Nicholas Yutuc / Boyet de Chavez</t>
  </si>
  <si>
    <t> Lhen Cometa</t>
  </si>
  <si>
    <t>DEVELOPMENT of FA LAB DOOR  ACCESS SYSTEM with ESD CONTROL VERIFICATION</t>
  </si>
  <si>
    <t>VISION POLISHER</t>
  </si>
  <si>
    <t> Nerwin Beronio</t>
  </si>
  <si>
    <t>2nd Review</t>
  </si>
  <si>
    <t>STO VM Defect Task Force</t>
  </si>
  <si>
    <t>CLOSED</t>
  </si>
  <si>
    <t>HONTEC SET_UP FILE CHECKER</t>
  </si>
  <si>
    <t>1st Review</t>
  </si>
  <si>
    <t>3rd Review</t>
  </si>
  <si>
    <t>STATUS</t>
  </si>
  <si>
    <t>Done</t>
  </si>
  <si>
    <t>Paolo Yutuc / Boyet de Chavez</t>
  </si>
  <si>
    <t>Jessalou Pelostrato</t>
  </si>
  <si>
    <t>100% COMPLIANCE TO PEEL BACK FORCE TEST (PBFT) REQUIREMENT</t>
  </si>
  <si>
    <t>STO Visual Mechanical Defects Reduction at PNP Handlers</t>
  </si>
  <si>
    <t>n/a</t>
  </si>
  <si>
    <t>Group  2</t>
  </si>
  <si>
    <t>Assigned Group</t>
  </si>
  <si>
    <t>April 8,2026</t>
  </si>
  <si>
    <t>Apr 15,2026</t>
  </si>
  <si>
    <t>April 22,2026</t>
  </si>
  <si>
    <t>Apr 29,2026</t>
  </si>
  <si>
    <t>Group  1</t>
  </si>
  <si>
    <t>PROJECT NAME</t>
  </si>
  <si>
    <t>REDUCTION OF LINTFREE PAPER USAGE AT PROBE OPERATION</t>
  </si>
  <si>
    <r>
      <rPr>
        <b/>
        <sz val="11"/>
        <color theme="9" tint="-0.249977111117893"/>
        <rFont val="Aptos Narrow"/>
        <family val="2"/>
        <scheme val="minor"/>
      </rPr>
      <t>CLOSED</t>
    </r>
    <r>
      <rPr>
        <sz val="11"/>
        <color theme="9" tint="-0.249977111117893"/>
        <rFont val="Aptos Narrow"/>
        <family val="2"/>
        <scheme val="minor"/>
      </rPr>
      <t xml:space="preserve">
Just need to update FMEA and OCAP-Apr'26</t>
    </r>
  </si>
  <si>
    <t>Ferdie Manalili</t>
  </si>
  <si>
    <t>Fernando Manalili</t>
  </si>
  <si>
    <t>Lhen Leslie Cometa</t>
  </si>
  <si>
    <t>PDCA</t>
  </si>
  <si>
    <t>QC TOOLS</t>
  </si>
  <si>
    <t>8 Waste</t>
  </si>
  <si>
    <t>7 Levers</t>
  </si>
  <si>
    <t xml:space="preserve">Rely Remo </t>
  </si>
  <si>
    <t>LEAN MENTORS TRAINING HOURS (PDCA &amp; QC TOOLS)</t>
  </si>
  <si>
    <t>Row Labels</t>
  </si>
  <si>
    <t>Day 1 to
Dec'2023</t>
  </si>
  <si>
    <t>Cum hous 2024</t>
  </si>
  <si>
    <t>Cum hrs 2025</t>
  </si>
  <si>
    <t>Cum hrs 2026</t>
  </si>
  <si>
    <t xml:space="preserve">Total Hrs </t>
  </si>
  <si>
    <t xml:space="preserve">Lyn Garcia </t>
  </si>
  <si>
    <t xml:space="preserve">Paul  Valdez </t>
  </si>
  <si>
    <t xml:space="preserve">Verna Voces </t>
  </si>
  <si>
    <t xml:space="preserve">Lhen Leslie Casas </t>
  </si>
  <si>
    <t xml:space="preserve">Rosalie Sander </t>
  </si>
  <si>
    <t xml:space="preserve">Myla Baided </t>
  </si>
  <si>
    <t xml:space="preserve">Joan Binaluyo </t>
  </si>
  <si>
    <t>Lean Leader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</si>
</sst>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b/>
      <sz val="9"/>
      <color rgb="FFFFFFFF"/>
      <name val="Calibri"/>
      <family val="2"/>
    </font>
    <font>
      <sz val="9"/>
      <color theme="1"/>
      <name val="Aptos Narrow"/>
      <family val="2"/>
      <scheme val="minor"/>
    </font>
    <font>
      <b/>
      <sz val="9"/>
      <color rgb="FF000000"/>
      <name val="Calibri"/>
      <family val="2"/>
    </font>
    <font>
      <sz val="9"/>
      <color rgb="FF000000"/>
      <name val="Calibri"/>
      <family val="2"/>
    </font>
    <font>
      <sz val="9"/>
      <color rgb="FF000000"/>
      <name val="Aptos Narrow"/>
      <family val="2"/>
    </font>
    <font>
      <sz val="9"/>
      <name val="Arial"/>
      <family val="2"/>
    </font>
    <font>
      <b/>
      <sz val="9"/>
      <color theme="1"/>
      <name val="Calibri"/>
      <family val="2"/>
    </font>
    <font>
      <sz val="9"/>
      <color theme="1"/>
      <name val="Calibri"/>
      <family val="2"/>
    </font>
    <font>
      <b/>
      <sz val="9"/>
      <color theme="1"/>
      <name val="Aptos Narrow"/>
      <family val="2"/>
      <scheme val="minor"/>
    </font>
    <font>
      <b/>
      <sz val="12"/>
      <color theme="1"/>
      <name val="Aptos Narrow"/>
      <family val="2"/>
      <scheme val="minor"/>
    </font>
    <font>
      <sz val="12"/>
      <color theme="1"/>
      <name val="Aptos Narrow"/>
      <family val="2"/>
      <scheme val="minor"/>
    </font>
    <font>
      <sz val="12"/>
      <name val="Aptos Narrow"/>
      <family val="2"/>
      <scheme val="minor"/>
    </font>
    <font>
      <sz val="10"/>
      <name val="Arial"/>
      <family val="2"/>
    </font>
    <font>
      <b/>
      <sz val="12"/>
      <name val="Aptos Narrow"/>
      <family val="2"/>
      <scheme val="minor"/>
    </font>
    <font>
      <sz val="11"/>
      <name val="Arial"/>
      <family val="2"/>
    </font>
    <font>
      <b/>
      <sz val="9"/>
      <color rgb="FF1008B8"/>
      <name val="Calibri"/>
      <family val="2"/>
    </font>
    <font>
      <b/>
      <sz val="9"/>
      <color rgb="FF1008B8"/>
      <name val="Aptos Narrow"/>
      <family val="2"/>
      <scheme val="minor"/>
    </font>
    <font>
      <b/>
      <sz val="11"/>
      <color theme="1"/>
      <name val="Aptos Narrow"/>
      <family val="2"/>
      <scheme val="minor"/>
    </font>
    <font>
      <sz val="9"/>
      <color rgb="FF1008B8"/>
      <name val="Aptos Narrow"/>
      <family val="2"/>
      <scheme val="minor"/>
    </font>
    <font>
      <sz val="9"/>
      <color rgb="FF1008B8"/>
      <name val="Calibri"/>
      <family val="2"/>
    </font>
    <font>
      <sz val="18"/>
      <color theme="1"/>
      <name val="Aptos Narrow"/>
      <family val="2"/>
      <scheme val="minor"/>
    </font>
    <font>
      <sz val="14"/>
      <color theme="1"/>
      <name val="Aptos Narrow"/>
      <family val="2"/>
      <scheme val="minor"/>
    </font>
    <font>
      <sz val="8"/>
      <name val="Aptos Narrow"/>
      <family val="2"/>
      <scheme val="minor"/>
    </font>
    <font>
      <b/>
      <sz val="14"/>
      <color theme="1"/>
      <name val="Aptos Narrow"/>
      <family val="2"/>
      <scheme val="minor"/>
    </font>
    <font>
      <sz val="11"/>
      <color rgb="FF0000FF"/>
      <name val="Aptos Narrow"/>
      <family val="2"/>
      <scheme val="minor"/>
    </font>
    <font>
      <b/>
      <sz val="12"/>
      <color theme="3" tint="0.249977111117893"/>
      <name val="Aptos Narrow"/>
      <family val="2"/>
      <scheme val="minor"/>
    </font>
    <font>
      <b/>
      <sz val="11"/>
      <color theme="9" tint="-0.249977111117893"/>
      <name val="Aptos Narrow"/>
      <family val="2"/>
      <scheme val="minor"/>
    </font>
    <font>
      <sz val="11"/>
      <color theme="9" tint="-0.249977111117893"/>
      <name val="Aptos Narrow"/>
      <family val="2"/>
      <scheme val="minor"/>
    </font>
    <font>
      <sz val="11"/>
      <color rgb="FF002060"/>
      <name val="Aptos Narrow"/>
      <family val="2"/>
      <scheme val="minor"/>
    </font>
    <font>
      <sz val="10"/>
      <color theme="1"/>
      <name val="Aptos Narrow"/>
      <family val="2"/>
      <scheme val="minor"/>
    </font>
    <font>
      <sz val="18"/>
      <color rgb="FF0000FF"/>
      <name val="Aptos Narrow"/>
      <family val="2"/>
      <scheme val="minor"/>
    </font>
  </fonts>
  <fills count="9">
    <fill>
      <patternFill patternType="none"/>
    </fill>
    <fill>
      <patternFill patternType="gray125"/>
    </fill>
    <fill>
      <patternFill patternType="solid">
        <fgColor rgb="FF305496"/>
        <bgColor indexed="64"/>
      </patternFill>
    </fill>
    <fill>
      <patternFill patternType="solid">
        <fgColor rgb="FFDAF2D0"/>
        <bgColor indexed="64"/>
      </patternFill>
    </fill>
    <fill>
      <patternFill patternType="solid">
        <fgColor theme="9" tint="0.79998168889431442"/>
        <bgColor indexed="64"/>
      </patternFill>
    </fill>
    <fill>
      <patternFill patternType="solid">
        <fgColor rgb="FFFFFFCC"/>
        <bgColor indexed="64"/>
      </patternFill>
    </fill>
    <fill>
      <patternFill patternType="solid">
        <fgColor rgb="FF00B0F0"/>
        <bgColor indexed="64"/>
      </patternFill>
    </fill>
    <fill>
      <patternFill patternType="solid">
        <fgColor rgb="FFFFC000"/>
        <bgColor indexed="64"/>
      </patternFill>
    </fill>
    <fill>
      <patternFill patternType="solid">
        <fgColor theme="0"/>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top style="medium">
        <color indexed="64"/>
      </top>
      <bottom style="medium">
        <color indexed="64"/>
      </bottom>
      <diagonal/>
    </border>
  </borders>
  <cellStyleXfs count="2">
    <xf numFmtId="0" fontId="0" fillId="0" borderId="0"/>
    <xf numFmtId="0" fontId="13" fillId="0" borderId="0"/>
  </cellStyleXfs>
  <cellXfs count="149">
    <xf numFmtId="0" fontId="0" fillId="0" borderId="0" xfId="0"/>
    <xf numFmtId="0" fontId="1" fillId="2" borderId="1" xfId="0" applyFont="1" applyFill="1" applyBorder="1" applyAlignment="1">
      <alignment horizontal="left" vertical="top" wrapText="1" readingOrder="1"/>
    </xf>
    <xf numFmtId="0" fontId="2" fillId="0" borderId="0" xfId="0" applyFont="1"/>
    <xf numFmtId="0" fontId="3" fillId="3" borderId="2" xfId="0" applyFont="1" applyFill="1" applyBorder="1" applyAlignment="1">
      <alignment horizontal="left" vertical="top" wrapText="1" readingOrder="1"/>
    </xf>
    <xf numFmtId="0" fontId="4" fillId="3" borderId="2" xfId="0" applyFont="1" applyFill="1" applyBorder="1" applyAlignment="1">
      <alignment horizontal="left" vertical="top" wrapText="1" readingOrder="1"/>
    </xf>
    <xf numFmtId="0" fontId="3" fillId="3" borderId="1" xfId="0" applyFont="1" applyFill="1" applyBorder="1" applyAlignment="1">
      <alignment horizontal="left" vertical="top" wrapText="1" readingOrder="1"/>
    </xf>
    <xf numFmtId="0" fontId="4" fillId="3" borderId="1" xfId="0" applyFont="1" applyFill="1" applyBorder="1" applyAlignment="1">
      <alignment horizontal="left" vertical="top" wrapText="1" readingOrder="1"/>
    </xf>
    <xf numFmtId="0" fontId="5" fillId="3" borderId="2" xfId="0" applyFont="1" applyFill="1" applyBorder="1" applyAlignment="1">
      <alignment horizontal="left" vertical="top" wrapText="1" readingOrder="1"/>
    </xf>
    <xf numFmtId="0" fontId="4" fillId="3" borderId="3" xfId="0" applyFont="1" applyFill="1" applyBorder="1" applyAlignment="1">
      <alignment horizontal="left" vertical="top" wrapText="1" readingOrder="1"/>
    </xf>
    <xf numFmtId="0" fontId="3" fillId="4" borderId="2" xfId="0" applyFont="1" applyFill="1" applyBorder="1" applyAlignment="1">
      <alignment horizontal="left" vertical="top" wrapText="1" readingOrder="1"/>
    </xf>
    <xf numFmtId="0" fontId="4" fillId="4" borderId="2" xfId="0" applyFont="1" applyFill="1" applyBorder="1" applyAlignment="1">
      <alignment horizontal="left" vertical="top" wrapText="1" readingOrder="1"/>
    </xf>
    <xf numFmtId="0" fontId="2" fillId="0" borderId="0" xfId="0" applyFont="1" applyAlignment="1">
      <alignment vertical="top"/>
    </xf>
    <xf numFmtId="0" fontId="3" fillId="4" borderId="4" xfId="0" applyFont="1" applyFill="1" applyBorder="1" applyAlignment="1">
      <alignment horizontal="left" vertical="top" wrapText="1" readingOrder="1"/>
    </xf>
    <xf numFmtId="0" fontId="4" fillId="4" borderId="4" xfId="0" applyFont="1" applyFill="1" applyBorder="1" applyAlignment="1">
      <alignment horizontal="left" vertical="top" wrapText="1" readingOrder="1"/>
    </xf>
    <xf numFmtId="0" fontId="6" fillId="4" borderId="4" xfId="0" applyFont="1" applyFill="1" applyBorder="1" applyAlignment="1">
      <alignment vertical="top" wrapText="1"/>
    </xf>
    <xf numFmtId="0" fontId="7" fillId="4" borderId="4" xfId="0" applyFont="1" applyFill="1" applyBorder="1" applyAlignment="1">
      <alignment horizontal="left" vertical="top"/>
    </xf>
    <xf numFmtId="0" fontId="7" fillId="4" borderId="4" xfId="0" applyFont="1" applyFill="1" applyBorder="1" applyAlignment="1">
      <alignment vertical="top"/>
    </xf>
    <xf numFmtId="0" fontId="8" fillId="4" borderId="4" xfId="0" applyFont="1" applyFill="1" applyBorder="1" applyAlignment="1">
      <alignment vertical="top" wrapText="1"/>
    </xf>
    <xf numFmtId="0" fontId="8" fillId="4" borderId="4" xfId="0" applyFont="1" applyFill="1" applyBorder="1" applyAlignment="1">
      <alignment vertical="top"/>
    </xf>
    <xf numFmtId="49" fontId="8" fillId="4" borderId="4" xfId="0" applyNumberFormat="1" applyFont="1" applyFill="1" applyBorder="1" applyAlignment="1">
      <alignment horizontal="left" vertical="top" wrapText="1"/>
    </xf>
    <xf numFmtId="0" fontId="8" fillId="4" borderId="4" xfId="0" applyFont="1" applyFill="1" applyBorder="1" applyAlignment="1">
      <alignment horizontal="left" vertical="top" wrapText="1"/>
    </xf>
    <xf numFmtId="0" fontId="4" fillId="3" borderId="4" xfId="0" applyFont="1" applyFill="1" applyBorder="1" applyAlignment="1">
      <alignment horizontal="left" vertical="top" wrapText="1" readingOrder="1"/>
    </xf>
    <xf numFmtId="0" fontId="2" fillId="0" borderId="0" xfId="0" applyFont="1" applyAlignment="1">
      <alignment horizontal="left" vertical="top"/>
    </xf>
    <xf numFmtId="0" fontId="9" fillId="5" borderId="4" xfId="0" applyFont="1" applyFill="1" applyBorder="1" applyAlignment="1">
      <alignment horizontal="left" vertical="top"/>
    </xf>
    <xf numFmtId="0" fontId="9" fillId="5" borderId="4" xfId="0" applyFont="1" applyFill="1" applyBorder="1" applyAlignment="1">
      <alignment vertical="top"/>
    </xf>
    <xf numFmtId="0" fontId="2" fillId="5" borderId="4" xfId="0" applyFont="1" applyFill="1" applyBorder="1" applyAlignment="1">
      <alignment horizontal="left" vertical="top" wrapText="1"/>
    </xf>
    <xf numFmtId="0" fontId="2" fillId="5" borderId="4" xfId="0" applyFont="1" applyFill="1" applyBorder="1" applyAlignment="1">
      <alignment vertical="top"/>
    </xf>
    <xf numFmtId="0" fontId="2" fillId="5" borderId="4" xfId="0" applyFont="1" applyFill="1" applyBorder="1" applyAlignment="1">
      <alignment vertical="top" wrapText="1"/>
    </xf>
    <xf numFmtId="0" fontId="2" fillId="5" borderId="4" xfId="0" applyFont="1" applyFill="1" applyBorder="1"/>
    <xf numFmtId="0" fontId="2" fillId="5" borderId="4" xfId="0" applyFont="1" applyFill="1" applyBorder="1" applyAlignment="1">
      <alignment wrapText="1"/>
    </xf>
    <xf numFmtId="0" fontId="10" fillId="0" borderId="0" xfId="0" applyFont="1" applyAlignment="1">
      <alignment vertical="top"/>
    </xf>
    <xf numFmtId="0" fontId="11" fillId="6" borderId="0" xfId="0" applyFont="1" applyFill="1" applyAlignment="1">
      <alignment vertical="top"/>
    </xf>
    <xf numFmtId="0" fontId="11" fillId="7" borderId="0" xfId="0" applyFont="1" applyFill="1" applyAlignment="1">
      <alignment vertical="top"/>
    </xf>
    <xf numFmtId="0" fontId="12" fillId="7" borderId="0" xfId="0" applyFont="1" applyFill="1" applyAlignment="1">
      <alignment vertical="top"/>
    </xf>
    <xf numFmtId="0" fontId="11" fillId="0" borderId="0" xfId="0" applyFont="1" applyAlignment="1">
      <alignment vertical="top"/>
    </xf>
    <xf numFmtId="0" fontId="11" fillId="0" borderId="0" xfId="0" applyFont="1" applyAlignment="1">
      <alignment vertical="top" wrapText="1"/>
    </xf>
    <xf numFmtId="0" fontId="12" fillId="0" borderId="0" xfId="0" applyFont="1" applyAlignment="1">
      <alignment vertical="top" wrapText="1"/>
    </xf>
    <xf numFmtId="0" fontId="12" fillId="0" borderId="0" xfId="0" applyFont="1" applyAlignment="1">
      <alignment vertical="top"/>
    </xf>
    <xf numFmtId="0" fontId="12" fillId="0" borderId="0" xfId="0" applyFont="1" applyAlignment="1">
      <alignment horizontal="left" vertical="top"/>
    </xf>
    <xf numFmtId="0" fontId="12" fillId="0" borderId="0" xfId="1" applyFont="1" applyAlignment="1">
      <alignment horizontal="left" vertical="top"/>
    </xf>
    <xf numFmtId="0" fontId="11" fillId="0" borderId="0" xfId="0" quotePrefix="1" applyFont="1" applyAlignment="1">
      <alignment vertical="top"/>
    </xf>
    <xf numFmtId="0" fontId="15" fillId="0" borderId="0" xfId="0" applyFont="1" applyAlignment="1">
      <alignment horizontal="left" vertical="top"/>
    </xf>
    <xf numFmtId="0" fontId="11" fillId="0" borderId="0" xfId="0" applyFont="1" applyAlignment="1">
      <alignment wrapText="1"/>
    </xf>
    <xf numFmtId="0" fontId="4" fillId="3" borderId="5" xfId="0" applyFont="1" applyFill="1" applyBorder="1" applyAlignment="1">
      <alignment horizontal="left" vertical="top" wrapText="1" readingOrder="1"/>
    </xf>
    <xf numFmtId="0" fontId="4" fillId="3" borderId="6" xfId="0" applyFont="1" applyFill="1" applyBorder="1" applyAlignment="1">
      <alignment horizontal="left" vertical="top" wrapText="1" readingOrder="1"/>
    </xf>
    <xf numFmtId="0" fontId="4" fillId="3" borderId="7" xfId="0" applyFont="1" applyFill="1" applyBorder="1" applyAlignment="1">
      <alignment horizontal="left" vertical="top" wrapText="1" readingOrder="1"/>
    </xf>
    <xf numFmtId="0" fontId="16" fillId="3" borderId="2" xfId="0" applyFont="1" applyFill="1" applyBorder="1" applyAlignment="1">
      <alignment horizontal="left" vertical="top" wrapText="1" readingOrder="1"/>
    </xf>
    <xf numFmtId="0" fontId="16" fillId="3" borderId="1" xfId="0" applyFont="1" applyFill="1" applyBorder="1" applyAlignment="1">
      <alignment horizontal="left" vertical="top" wrapText="1" readingOrder="1"/>
    </xf>
    <xf numFmtId="0" fontId="16" fillId="3" borderId="8" xfId="0" applyFont="1" applyFill="1" applyBorder="1" applyAlignment="1">
      <alignment horizontal="left" vertical="top" wrapText="1" readingOrder="1"/>
    </xf>
    <xf numFmtId="0" fontId="16" fillId="4" borderId="2" xfId="0" applyFont="1" applyFill="1" applyBorder="1" applyAlignment="1">
      <alignment horizontal="left" vertical="top" wrapText="1" readingOrder="1"/>
    </xf>
    <xf numFmtId="0" fontId="16" fillId="4" borderId="4" xfId="0" applyFont="1" applyFill="1" applyBorder="1" applyAlignment="1">
      <alignment horizontal="left" vertical="top" wrapText="1" readingOrder="1"/>
    </xf>
    <xf numFmtId="0" fontId="16" fillId="4" borderId="4" xfId="0" applyFont="1" applyFill="1" applyBorder="1" applyAlignment="1">
      <alignment vertical="top"/>
    </xf>
    <xf numFmtId="0" fontId="16" fillId="4" borderId="4" xfId="0" applyFont="1" applyFill="1" applyBorder="1" applyAlignment="1">
      <alignment horizontal="left" vertical="top" wrapText="1"/>
    </xf>
    <xf numFmtId="0" fontId="17" fillId="5" borderId="4" xfId="0" applyFont="1" applyFill="1" applyBorder="1" applyAlignment="1">
      <alignment vertical="top"/>
    </xf>
    <xf numFmtId="0" fontId="17" fillId="0" borderId="0" xfId="0" applyFont="1" applyAlignment="1">
      <alignment vertical="top"/>
    </xf>
    <xf numFmtId="0" fontId="1" fillId="2" borderId="1" xfId="0" applyFont="1" applyFill="1" applyBorder="1" applyAlignment="1">
      <alignment horizontal="left" wrapText="1" readingOrder="1"/>
    </xf>
    <xf numFmtId="0" fontId="19" fillId="0" borderId="0" xfId="0" applyFont="1" applyAlignment="1">
      <alignment vertical="top"/>
    </xf>
    <xf numFmtId="0" fontId="20" fillId="3" borderId="2" xfId="0" applyFont="1" applyFill="1" applyBorder="1" applyAlignment="1">
      <alignment horizontal="left" vertical="top" wrapText="1" readingOrder="1"/>
    </xf>
    <xf numFmtId="0" fontId="20" fillId="3" borderId="1" xfId="0" applyFont="1" applyFill="1" applyBorder="1" applyAlignment="1">
      <alignment horizontal="left" vertical="top" wrapText="1" readingOrder="1"/>
    </xf>
    <xf numFmtId="0" fontId="20" fillId="3" borderId="8" xfId="0" applyFont="1" applyFill="1" applyBorder="1" applyAlignment="1">
      <alignment horizontal="left" vertical="top" wrapText="1" readingOrder="1"/>
    </xf>
    <xf numFmtId="0" fontId="20" fillId="4" borderId="2" xfId="0" applyFont="1" applyFill="1" applyBorder="1" applyAlignment="1">
      <alignment horizontal="left" vertical="top" wrapText="1" readingOrder="1"/>
    </xf>
    <xf numFmtId="0" fontId="20" fillId="4" borderId="4" xfId="0" applyFont="1" applyFill="1" applyBorder="1" applyAlignment="1">
      <alignment horizontal="left" vertical="top" wrapText="1" readingOrder="1"/>
    </xf>
    <xf numFmtId="0" fontId="20" fillId="4" borderId="4" xfId="0" applyFont="1" applyFill="1" applyBorder="1" applyAlignment="1">
      <alignment vertical="top"/>
    </xf>
    <xf numFmtId="0" fontId="20" fillId="4" borderId="4" xfId="0" applyFont="1" applyFill="1" applyBorder="1" applyAlignment="1">
      <alignment horizontal="left" vertical="top" wrapText="1"/>
    </xf>
    <xf numFmtId="0" fontId="19" fillId="5" borderId="4" xfId="0" applyFont="1" applyFill="1" applyBorder="1" applyAlignment="1">
      <alignment vertical="top"/>
    </xf>
    <xf numFmtId="0" fontId="0" fillId="0" borderId="0" xfId="0" applyAlignment="1">
      <alignment horizontal="center"/>
    </xf>
    <xf numFmtId="0" fontId="0" fillId="0" borderId="21" xfId="0" applyBorder="1"/>
    <xf numFmtId="0" fontId="0" fillId="0" borderId="4" xfId="0" applyBorder="1"/>
    <xf numFmtId="0" fontId="0" fillId="0" borderId="27" xfId="0" applyBorder="1" applyAlignment="1">
      <alignment horizontal="center"/>
    </xf>
    <xf numFmtId="0" fontId="0" fillId="0" borderId="28" xfId="0" applyBorder="1" applyAlignment="1">
      <alignment horizontal="center"/>
    </xf>
    <xf numFmtId="0" fontId="0" fillId="0" borderId="12" xfId="0" applyBorder="1"/>
    <xf numFmtId="0" fontId="0" fillId="0" borderId="10" xfId="0" applyBorder="1"/>
    <xf numFmtId="0" fontId="0" fillId="0" borderId="13" xfId="0" applyBorder="1"/>
    <xf numFmtId="0" fontId="0" fillId="0" borderId="4" xfId="0" applyBorder="1" applyAlignment="1">
      <alignment horizontal="center"/>
    </xf>
    <xf numFmtId="0" fontId="11" fillId="8" borderId="4" xfId="0" applyFont="1" applyFill="1" applyBorder="1" applyAlignment="1">
      <alignment wrapText="1"/>
    </xf>
    <xf numFmtId="0" fontId="11" fillId="8" borderId="4" xfId="0" applyFont="1" applyFill="1" applyBorder="1"/>
    <xf numFmtId="0" fontId="11" fillId="0" borderId="4" xfId="0" applyFont="1" applyBorder="1"/>
    <xf numFmtId="0" fontId="11" fillId="8" borderId="9" xfId="0" applyFont="1" applyFill="1" applyBorder="1" applyAlignment="1">
      <alignment wrapText="1"/>
    </xf>
    <xf numFmtId="0" fontId="11" fillId="8" borderId="9" xfId="0" applyFont="1" applyFill="1" applyBorder="1"/>
    <xf numFmtId="0" fontId="11" fillId="0" borderId="9" xfId="0" applyFont="1" applyBorder="1"/>
    <xf numFmtId="0" fontId="11" fillId="8" borderId="11" xfId="0" applyFont="1" applyFill="1" applyBorder="1"/>
    <xf numFmtId="0" fontId="11" fillId="8" borderId="12" xfId="0" applyFont="1" applyFill="1" applyBorder="1" applyAlignment="1">
      <alignment wrapText="1"/>
    </xf>
    <xf numFmtId="0" fontId="0" fillId="0" borderId="12" xfId="0" applyBorder="1" applyAlignment="1">
      <alignment horizontal="center"/>
    </xf>
    <xf numFmtId="0" fontId="11" fillId="8" borderId="9" xfId="0" applyFont="1" applyFill="1" applyBorder="1" applyAlignment="1">
      <alignment vertical="center" wrapText="1"/>
    </xf>
    <xf numFmtId="0" fontId="0" fillId="0" borderId="32" xfId="0" applyBorder="1" applyAlignment="1">
      <alignment horizontal="center"/>
    </xf>
    <xf numFmtId="0" fontId="26" fillId="0" borderId="23" xfId="0" applyFont="1" applyBorder="1"/>
    <xf numFmtId="0" fontId="26" fillId="0" borderId="25" xfId="0" applyFont="1" applyBorder="1"/>
    <xf numFmtId="0" fontId="26" fillId="0" borderId="4" xfId="0" applyFont="1" applyBorder="1" applyAlignment="1">
      <alignment horizontal="center"/>
    </xf>
    <xf numFmtId="0" fontId="11" fillId="8" borderId="21" xfId="0" applyFont="1" applyFill="1" applyBorder="1"/>
    <xf numFmtId="0" fontId="0" fillId="0" borderId="21" xfId="0" applyBorder="1" applyAlignment="1">
      <alignment horizontal="center"/>
    </xf>
    <xf numFmtId="0" fontId="26" fillId="0" borderId="21" xfId="0" applyFont="1" applyBorder="1" applyAlignment="1">
      <alignment horizontal="center"/>
    </xf>
    <xf numFmtId="0" fontId="26" fillId="0" borderId="22" xfId="0" applyFont="1" applyBorder="1"/>
    <xf numFmtId="0" fontId="26" fillId="0" borderId="10" xfId="0" applyFont="1" applyBorder="1"/>
    <xf numFmtId="0" fontId="27" fillId="0" borderId="10" xfId="0" applyFont="1" applyBorder="1"/>
    <xf numFmtId="0" fontId="25" fillId="0" borderId="21" xfId="0" applyFont="1" applyBorder="1" applyAlignment="1">
      <alignment horizontal="center"/>
    </xf>
    <xf numFmtId="0" fontId="25" fillId="0" borderId="4" xfId="0" applyFont="1" applyBorder="1" applyAlignment="1">
      <alignment horizontal="center"/>
    </xf>
    <xf numFmtId="0" fontId="25" fillId="0" borderId="12" xfId="0" applyFont="1" applyBorder="1" applyAlignment="1">
      <alignment horizontal="center"/>
    </xf>
    <xf numFmtId="0" fontId="25" fillId="4" borderId="12" xfId="0" applyFont="1" applyFill="1" applyBorder="1" applyAlignment="1">
      <alignment horizontal="center"/>
    </xf>
    <xf numFmtId="0" fontId="25" fillId="4" borderId="4" xfId="0" applyFont="1" applyFill="1" applyBorder="1" applyAlignment="1">
      <alignment horizontal="center"/>
    </xf>
    <xf numFmtId="0" fontId="28" fillId="0" borderId="4" xfId="0" applyFont="1" applyBorder="1" applyAlignment="1">
      <alignment horizontal="center"/>
    </xf>
    <xf numFmtId="0" fontId="28" fillId="0" borderId="10" xfId="0" applyFont="1" applyBorder="1" applyAlignment="1">
      <alignment wrapText="1"/>
    </xf>
    <xf numFmtId="0" fontId="26" fillId="0" borderId="25" xfId="0" applyFont="1" applyBorder="1" applyAlignment="1">
      <alignment horizontal="center" wrapText="1"/>
    </xf>
    <xf numFmtId="0" fontId="26" fillId="0" borderId="24" xfId="0" applyFont="1" applyBorder="1" applyAlignment="1">
      <alignment horizontal="center" wrapText="1"/>
    </xf>
    <xf numFmtId="0" fontId="26" fillId="0" borderId="24" xfId="0" applyFont="1" applyBorder="1"/>
    <xf numFmtId="0" fontId="0" fillId="0" borderId="26" xfId="0" applyBorder="1" applyAlignment="1">
      <alignment horizontal="center"/>
    </xf>
    <xf numFmtId="0" fontId="11" fillId="8" borderId="20" xfId="0" applyFont="1" applyFill="1" applyBorder="1" applyAlignment="1">
      <alignment wrapText="1"/>
    </xf>
    <xf numFmtId="0" fontId="25" fillId="4" borderId="21" xfId="0" applyFont="1" applyFill="1" applyBorder="1" applyAlignment="1">
      <alignment horizontal="center"/>
    </xf>
    <xf numFmtId="0" fontId="29" fillId="0" borderId="27" xfId="0" applyFont="1" applyBorder="1" applyAlignment="1">
      <alignment horizontal="center"/>
    </xf>
    <xf numFmtId="0" fontId="30" fillId="8" borderId="21" xfId="0" applyFont="1" applyFill="1" applyBorder="1"/>
    <xf numFmtId="0" fontId="30" fillId="8" borderId="21" xfId="0" applyFont="1" applyFill="1" applyBorder="1" applyAlignment="1">
      <alignment wrapText="1"/>
    </xf>
    <xf numFmtId="0" fontId="30" fillId="8" borderId="4" xfId="0" applyFont="1" applyFill="1" applyBorder="1"/>
    <xf numFmtId="0" fontId="30" fillId="8" borderId="4" xfId="0" applyFont="1" applyFill="1" applyBorder="1" applyAlignment="1">
      <alignment wrapText="1"/>
    </xf>
    <xf numFmtId="0" fontId="30" fillId="0" borderId="4" xfId="0" applyFont="1" applyBorder="1"/>
    <xf numFmtId="0" fontId="30" fillId="8" borderId="12" xfId="0" applyFont="1" applyFill="1" applyBorder="1" applyAlignment="1">
      <alignment wrapText="1"/>
    </xf>
    <xf numFmtId="0" fontId="30" fillId="8" borderId="31" xfId="0" applyFont="1" applyFill="1" applyBorder="1" applyAlignment="1">
      <alignment wrapText="1"/>
    </xf>
    <xf numFmtId="0" fontId="21" fillId="0" borderId="4" xfId="0" applyFont="1" applyBorder="1" applyAlignment="1">
      <alignment horizontal="center"/>
    </xf>
    <xf numFmtId="0" fontId="18" fillId="8" borderId="23" xfId="0" applyFont="1" applyFill="1" applyBorder="1"/>
    <xf numFmtId="0" fontId="18" fillId="8" borderId="25" xfId="0" applyFont="1" applyFill="1" applyBorder="1" applyAlignment="1">
      <alignment horizontal="center" wrapText="1"/>
    </xf>
    <xf numFmtId="0" fontId="18" fillId="8" borderId="24" xfId="0" applyFont="1" applyFill="1" applyBorder="1" applyAlignment="1">
      <alignment horizontal="center"/>
    </xf>
    <xf numFmtId="0" fontId="0" fillId="8" borderId="20" xfId="0" applyFill="1" applyBorder="1"/>
    <xf numFmtId="0" fontId="0" fillId="8" borderId="21" xfId="0" applyFill="1" applyBorder="1" applyAlignment="1">
      <alignment horizontal="center"/>
    </xf>
    <xf numFmtId="0" fontId="18" fillId="8" borderId="22" xfId="0" applyFont="1" applyFill="1" applyBorder="1" applyAlignment="1">
      <alignment horizontal="center"/>
    </xf>
    <xf numFmtId="0" fontId="0" fillId="8" borderId="9" xfId="0" applyFill="1" applyBorder="1"/>
    <xf numFmtId="0" fontId="0" fillId="8" borderId="4" xfId="0" applyFill="1" applyBorder="1" applyAlignment="1">
      <alignment horizontal="center"/>
    </xf>
    <xf numFmtId="0" fontId="18" fillId="8" borderId="10" xfId="0" applyFont="1" applyFill="1" applyBorder="1" applyAlignment="1">
      <alignment horizontal="center"/>
    </xf>
    <xf numFmtId="0" fontId="0" fillId="8" borderId="11" xfId="0" applyFill="1" applyBorder="1"/>
    <xf numFmtId="0" fontId="0" fillId="8" borderId="12" xfId="0" applyFill="1" applyBorder="1" applyAlignment="1">
      <alignment horizontal="center"/>
    </xf>
    <xf numFmtId="0" fontId="18" fillId="8" borderId="13" xfId="0" applyFont="1" applyFill="1" applyBorder="1" applyAlignment="1">
      <alignment horizontal="center"/>
    </xf>
    <xf numFmtId="0" fontId="25" fillId="8" borderId="9" xfId="0" applyFont="1" applyFill="1" applyBorder="1"/>
    <xf numFmtId="0" fontId="25" fillId="8" borderId="20" xfId="0" applyFont="1" applyFill="1" applyBorder="1"/>
    <xf numFmtId="0" fontId="18" fillId="0" borderId="13" xfId="0" applyFont="1" applyBorder="1" applyAlignment="1">
      <alignment horizontal="center"/>
    </xf>
    <xf numFmtId="0" fontId="22" fillId="0" borderId="14" xfId="0" applyFont="1" applyBorder="1" applyAlignment="1">
      <alignment horizontal="left"/>
    </xf>
    <xf numFmtId="0" fontId="21" fillId="0" borderId="15" xfId="0" applyFont="1" applyBorder="1" applyAlignment="1">
      <alignment horizontal="center"/>
    </xf>
    <xf numFmtId="0" fontId="21" fillId="0" borderId="16" xfId="0" applyFont="1" applyBorder="1" applyAlignment="1">
      <alignment horizontal="center"/>
    </xf>
    <xf numFmtId="0" fontId="22" fillId="0" borderId="9" xfId="0" applyFont="1" applyBorder="1" applyAlignment="1">
      <alignment horizontal="left"/>
    </xf>
    <xf numFmtId="0" fontId="21" fillId="0" borderId="10" xfId="0" applyFont="1" applyBorder="1" applyAlignment="1">
      <alignment horizontal="center"/>
    </xf>
    <xf numFmtId="0" fontId="11" fillId="0" borderId="4" xfId="0" applyFont="1" applyBorder="1" applyAlignment="1">
      <alignment horizontal="center"/>
    </xf>
    <xf numFmtId="0" fontId="11" fillId="0" borderId="10" xfId="0" applyFont="1" applyBorder="1" applyAlignment="1">
      <alignment horizontal="center"/>
    </xf>
    <xf numFmtId="0" fontId="31" fillId="0" borderId="4" xfId="0" applyFont="1" applyBorder="1" applyAlignment="1">
      <alignment horizontal="center"/>
    </xf>
    <xf numFmtId="0" fontId="22" fillId="0" borderId="11" xfId="0" applyFont="1" applyBorder="1" applyAlignment="1">
      <alignment horizontal="left"/>
    </xf>
    <xf numFmtId="0" fontId="21" fillId="0" borderId="12" xfId="0" applyFont="1" applyBorder="1" applyAlignment="1">
      <alignment horizontal="center"/>
    </xf>
    <xf numFmtId="0" fontId="21" fillId="0" borderId="13" xfId="0" applyFont="1" applyBorder="1" applyAlignment="1">
      <alignment horizontal="center"/>
    </xf>
    <xf numFmtId="0" fontId="24" fillId="0" borderId="17" xfId="0" applyFont="1" applyBorder="1" applyAlignment="1">
      <alignment horizontal="left"/>
    </xf>
    <xf numFmtId="0" fontId="24" fillId="0" borderId="18" xfId="0" applyFont="1" applyBorder="1" applyAlignment="1">
      <alignment horizontal="center"/>
    </xf>
    <xf numFmtId="0" fontId="24" fillId="0" borderId="19" xfId="0" applyFont="1" applyBorder="1" applyAlignment="1">
      <alignment horizontal="center" vertical="center" wrapText="1"/>
    </xf>
    <xf numFmtId="0" fontId="22" fillId="0" borderId="0" xfId="0" applyFont="1"/>
    <xf numFmtId="0" fontId="10" fillId="0" borderId="29"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30" xfId="0" applyFont="1" applyBorder="1" applyAlignment="1">
      <alignment vertical="center" wrapText="1"/>
    </xf>
  </cellXfs>
  <cellStyles count="2">
    <cellStyle name="Normal" xfId="0" builtinId="0"/>
    <cellStyle name="Normal 2" xfId="1" xr:uid="{B7C7E7F5-D103-4C02-8113-724C9291649A}"/>
  </cellStyles>
  <dxfs count="0"/>
  <tableStyles count="0" defaultTableStyle="TableStyleMedium2" defaultPivotStyle="PivotStyleLight16"/>
  <colors>
    <mruColors>
      <color rgb="FF0000FF"/>
      <color rgb="FFFFFF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Lean Mentors Cum Training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796647880943815E-2"/>
          <c:y val="0.11665685346386818"/>
          <c:w val="0.89281852458797983"/>
          <c:h val="0.58700390411538783"/>
        </c:manualLayout>
      </c:layout>
      <c:barChart>
        <c:barDir val="col"/>
        <c:grouping val="clustered"/>
        <c:varyColors val="0"/>
        <c:ser>
          <c:idx val="0"/>
          <c:order val="0"/>
          <c:tx>
            <c:strRef>
              <c:f>'Training Hours'!$C$28</c:f>
              <c:strCache>
                <c:ptCount val="1"/>
                <c:pt idx="0">
                  <c:v>Total Hrs </c:v>
                </c:pt>
              </c:strCache>
            </c:strRef>
          </c:tx>
          <c:spPr>
            <a:solidFill>
              <a:schemeClr val="accent1"/>
            </a:solidFill>
            <a:ln>
              <a:noFill/>
            </a:ln>
            <a:effectLst/>
          </c:spPr>
          <c:invertIfNegative val="0"/>
          <c:cat>
            <c:strRef>
              <c:f>'Training Hours'!$B$29:$B$50</c:f>
              <c:strCache>
                <c:ptCount val="22"/>
                <c:pt idx="0">
                  <c:v>Alma Fontanilla</c:v>
                </c:pt>
                <c:pt idx="1">
                  <c:v>Ferdie Manalili</c:v>
                </c:pt>
                <c:pt idx="2">
                  <c:v>Liza Jalos</c:v>
                </c:pt>
                <c:pt idx="3">
                  <c:v>Nerwin Beronio </c:v>
                </c:pt>
                <c:pt idx="4">
                  <c:v>Judy Hugo</c:v>
                </c:pt>
                <c:pt idx="5">
                  <c:v>Junejeb Payos</c:v>
                </c:pt>
                <c:pt idx="6">
                  <c:v>Lyn Garcia </c:v>
                </c:pt>
                <c:pt idx="7">
                  <c:v>Maurice Mendoza</c:v>
                </c:pt>
                <c:pt idx="8">
                  <c:v>Lendale Anonat</c:v>
                </c:pt>
                <c:pt idx="9">
                  <c:v>Paul  Valdez </c:v>
                </c:pt>
                <c:pt idx="10">
                  <c:v>Jeric Pantig</c:v>
                </c:pt>
                <c:pt idx="11">
                  <c:v>Verna Voces </c:v>
                </c:pt>
                <c:pt idx="12">
                  <c:v>Lhen Leslie Casas </c:v>
                </c:pt>
                <c:pt idx="13">
                  <c:v>Rosalie Sander </c:v>
                </c:pt>
                <c:pt idx="14">
                  <c:v>Thess Ferrer</c:v>
                </c:pt>
                <c:pt idx="15">
                  <c:v>Myla Baided </c:v>
                </c:pt>
                <c:pt idx="16">
                  <c:v>Joan Binaluyo </c:v>
                </c:pt>
                <c:pt idx="17">
                  <c:v>Rely Remo </c:v>
                </c:pt>
                <c:pt idx="18">
                  <c:v>Melody Paliza</c:v>
                </c:pt>
                <c:pt idx="19">
                  <c:v>Conrado Laumoc</c:v>
                </c:pt>
                <c:pt idx="20">
                  <c:v>Neilvin Remo</c:v>
                </c:pt>
                <c:pt idx="21">
                  <c:v>Eleonor Rapisora</c:v>
                </c:pt>
              </c:strCache>
            </c:strRef>
          </c:cat>
          <c:val>
            <c:numRef>
              <c:f>'Training Hours'!$C$29:$C$50</c:f>
              <c:numCache>
                <c:formatCode>General</c:formatCode>
                <c:ptCount val="22"/>
                <c:pt idx="0">
                  <c:v>317</c:v>
                </c:pt>
                <c:pt idx="1">
                  <c:v>268</c:v>
                </c:pt>
                <c:pt idx="2">
                  <c:v>186</c:v>
                </c:pt>
                <c:pt idx="3">
                  <c:v>163</c:v>
                </c:pt>
                <c:pt idx="4">
                  <c:v>160</c:v>
                </c:pt>
                <c:pt idx="5">
                  <c:v>161</c:v>
                </c:pt>
                <c:pt idx="6">
                  <c:v>121</c:v>
                </c:pt>
                <c:pt idx="7">
                  <c:v>121</c:v>
                </c:pt>
                <c:pt idx="8">
                  <c:v>118</c:v>
                </c:pt>
                <c:pt idx="9">
                  <c:v>118</c:v>
                </c:pt>
                <c:pt idx="10">
                  <c:v>111</c:v>
                </c:pt>
                <c:pt idx="11">
                  <c:v>92</c:v>
                </c:pt>
                <c:pt idx="12">
                  <c:v>91</c:v>
                </c:pt>
                <c:pt idx="13">
                  <c:v>81</c:v>
                </c:pt>
                <c:pt idx="14">
                  <c:v>71</c:v>
                </c:pt>
                <c:pt idx="15">
                  <c:v>65</c:v>
                </c:pt>
                <c:pt idx="16">
                  <c:v>47</c:v>
                </c:pt>
                <c:pt idx="17">
                  <c:v>39</c:v>
                </c:pt>
                <c:pt idx="18">
                  <c:v>22</c:v>
                </c:pt>
                <c:pt idx="19">
                  <c:v>14</c:v>
                </c:pt>
                <c:pt idx="20">
                  <c:v>14</c:v>
                </c:pt>
                <c:pt idx="21">
                  <c:v>8</c:v>
                </c:pt>
              </c:numCache>
            </c:numRef>
          </c:val>
          <c:extLst>
            <c:ext xmlns:c16="http://schemas.microsoft.com/office/drawing/2014/chart" uri="{C3380CC4-5D6E-409C-BE32-E72D297353CC}">
              <c16:uniqueId val="{00000000-CDB8-4866-ABBA-806A859974F7}"/>
            </c:ext>
          </c:extLst>
        </c:ser>
        <c:dLbls>
          <c:showLegendKey val="0"/>
          <c:showVal val="0"/>
          <c:showCatName val="0"/>
          <c:showSerName val="0"/>
          <c:showPercent val="0"/>
          <c:showBubbleSize val="0"/>
        </c:dLbls>
        <c:gapWidth val="219"/>
        <c:overlap val="-27"/>
        <c:axId val="736207248"/>
        <c:axId val="736203888"/>
      </c:barChart>
      <c:catAx>
        <c:axId val="73620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203888"/>
        <c:crosses val="autoZero"/>
        <c:auto val="1"/>
        <c:lblAlgn val="ctr"/>
        <c:lblOffset val="100"/>
        <c:noMultiLvlLbl val="0"/>
      </c:catAx>
      <c:valAx>
        <c:axId val="73620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20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9525</xdr:colOff>
      <xdr:row>2</xdr:row>
      <xdr:rowOff>280986</xdr:rowOff>
    </xdr:from>
    <xdr:to>
      <xdr:col>20</xdr:col>
      <xdr:colOff>200025</xdr:colOff>
      <xdr:row>24</xdr:row>
      <xdr:rowOff>47625</xdr:rowOff>
    </xdr:to>
    <xdr:graphicFrame macro="">
      <xdr:nvGraphicFramePr>
        <xdr:cNvPr id="2" name="Chart 1">
          <a:extLst>
            <a:ext uri="{FF2B5EF4-FFF2-40B4-BE49-F238E27FC236}">
              <a16:creationId xmlns:a16="http://schemas.microsoft.com/office/drawing/2014/main" id="{19DE9D99-9028-4A1F-8DF0-FB6BF7938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0.75931</cdr:x>
      <cdr:y>0.46621</cdr:y>
    </cdr:from>
    <cdr:to>
      <cdr:x>0.96193</cdr:x>
      <cdr:y>0.93651</cdr:y>
    </cdr:to>
    <cdr:sp macro="" textlink="">
      <cdr:nvSpPr>
        <cdr:cNvPr id="2" name="Rectangle 1">
          <a:extLst xmlns:a="http://schemas.openxmlformats.org/drawingml/2006/main">
            <a:ext uri="{FF2B5EF4-FFF2-40B4-BE49-F238E27FC236}">
              <a16:creationId xmlns:a16="http://schemas.microsoft.com/office/drawing/2014/main" id="{FF256B93-77BE-4BF6-8E2B-FB63918B177F}"/>
            </a:ext>
          </a:extLst>
        </cdr:cNvPr>
        <cdr:cNvSpPr/>
      </cdr:nvSpPr>
      <cdr:spPr>
        <a:xfrm xmlns:a="http://schemas.openxmlformats.org/drawingml/2006/main">
          <a:off x="5699125" y="1938339"/>
          <a:ext cx="1520825" cy="1955375"/>
        </a:xfrm>
        <a:prstGeom xmlns:a="http://schemas.openxmlformats.org/drawingml/2006/main" prst="rect">
          <a:avLst/>
        </a:prstGeom>
        <a:noFill xmlns:a="http://schemas.openxmlformats.org/drawingml/2006/main"/>
        <a:ln xmlns:a="http://schemas.openxmlformats.org/drawingml/2006/main" w="19050">
          <a:solidFill>
            <a:srgbClr val="FFC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0.77834</cdr:x>
      <cdr:y>0.23973</cdr:y>
    </cdr:from>
    <cdr:to>
      <cdr:x>0.92682</cdr:x>
      <cdr:y>0.36332</cdr:y>
    </cdr:to>
    <cdr:sp macro="" textlink="">
      <cdr:nvSpPr>
        <cdr:cNvPr id="3" name="Speech Bubble: Rectangle 2">
          <a:extLst xmlns:a="http://schemas.openxmlformats.org/drawingml/2006/main">
            <a:ext uri="{FF2B5EF4-FFF2-40B4-BE49-F238E27FC236}">
              <a16:creationId xmlns:a16="http://schemas.microsoft.com/office/drawing/2014/main" id="{F50998FF-267B-4F45-BE7C-235ED928DED4}"/>
            </a:ext>
          </a:extLst>
        </cdr:cNvPr>
        <cdr:cNvSpPr/>
      </cdr:nvSpPr>
      <cdr:spPr>
        <a:xfrm xmlns:a="http://schemas.openxmlformats.org/drawingml/2006/main">
          <a:off x="5842000" y="996714"/>
          <a:ext cx="1114425" cy="513866"/>
        </a:xfrm>
        <a:prstGeom xmlns:a="http://schemas.openxmlformats.org/drawingml/2006/main" prst="wedgeRectCallout">
          <a:avLst>
            <a:gd name="adj1" fmla="val 26895"/>
            <a:gd name="adj2" fmla="val 130671"/>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a:t>New Members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4D76-F44B-4961-8D1B-4E3975A1E276}">
  <sheetPr filterMode="1"/>
  <dimension ref="A1:M20"/>
  <sheetViews>
    <sheetView topLeftCell="A15" zoomScale="145" zoomScaleNormal="145" workbookViewId="0">
      <pane xSplit="2" topLeftCell="C1" activePane="topRight" state="frozen"/>
      <selection pane="topRight" activeCell="C17" sqref="C17"/>
    </sheetView>
  </sheetViews>
  <sheetFormatPr defaultColWidth="8.6796875" defaultRowHeight="12.25" x14ac:dyDescent="0.65"/>
  <cols>
    <col min="1" max="1" width="5.54296875" style="22" customWidth="1"/>
    <col min="2" max="2" width="9.31640625" style="2" customWidth="1"/>
    <col min="3" max="3" width="34.1328125" style="2" customWidth="1"/>
    <col min="4" max="4" width="29" style="2" customWidth="1"/>
    <col min="5" max="5" width="28.36328125" style="2" customWidth="1"/>
    <col min="6" max="7" width="12" style="2" customWidth="1"/>
    <col min="8" max="8" width="12.54296875" style="2" customWidth="1"/>
    <col min="9" max="9" width="11.36328125" style="2" customWidth="1"/>
    <col min="10" max="10" width="17.1328125" style="54" customWidth="1"/>
    <col min="11" max="11" width="15.54296875" style="56" customWidth="1"/>
    <col min="12" max="12" width="7" style="2" customWidth="1"/>
    <col min="13" max="13" width="18.36328125" style="2" customWidth="1"/>
    <col min="14" max="16384" width="8.6796875" style="2"/>
  </cols>
  <sheetData>
    <row r="1" spans="1:13" ht="10" customHeight="1" x14ac:dyDescent="0.65">
      <c r="J1" s="54" t="s">
        <v>228</v>
      </c>
    </row>
    <row r="2" spans="1:13" ht="8.5" customHeight="1" x14ac:dyDescent="0.65"/>
    <row r="3" spans="1:13" ht="25.5" customHeight="1" x14ac:dyDescent="0.65">
      <c r="A3" s="1" t="s">
        <v>0</v>
      </c>
      <c r="B3" s="1" t="s">
        <v>1</v>
      </c>
      <c r="C3" s="1" t="s">
        <v>2</v>
      </c>
      <c r="D3" s="55" t="s">
        <v>3</v>
      </c>
      <c r="E3" s="55" t="s">
        <v>4</v>
      </c>
      <c r="F3" s="55" t="s">
        <v>5</v>
      </c>
      <c r="G3" s="55" t="s">
        <v>6</v>
      </c>
      <c r="H3" s="55" t="s">
        <v>7</v>
      </c>
      <c r="I3" s="55" t="s">
        <v>8</v>
      </c>
      <c r="J3" s="55" t="s">
        <v>142</v>
      </c>
      <c r="K3" s="55" t="s">
        <v>229</v>
      </c>
      <c r="L3" s="1" t="s">
        <v>9</v>
      </c>
      <c r="M3" s="55" t="s">
        <v>10</v>
      </c>
    </row>
    <row r="4" spans="1:13" ht="65.150000000000006" hidden="1" customHeight="1" x14ac:dyDescent="0.65">
      <c r="A4" s="3">
        <v>1</v>
      </c>
      <c r="B4" s="3" t="s">
        <v>59</v>
      </c>
      <c r="C4" s="4" t="s">
        <v>11</v>
      </c>
      <c r="D4" s="4" t="s">
        <v>12</v>
      </c>
      <c r="E4" s="4" t="s">
        <v>12</v>
      </c>
      <c r="F4" s="4" t="s">
        <v>13</v>
      </c>
      <c r="G4" s="4" t="s">
        <v>14</v>
      </c>
      <c r="H4" s="4" t="s">
        <v>15</v>
      </c>
      <c r="I4" s="4" t="s">
        <v>16</v>
      </c>
      <c r="J4" s="46" t="s">
        <v>17</v>
      </c>
      <c r="K4" s="57" t="s">
        <v>230</v>
      </c>
      <c r="L4" s="4" t="s">
        <v>18</v>
      </c>
      <c r="M4" s="4" t="s">
        <v>19</v>
      </c>
    </row>
    <row r="5" spans="1:13" ht="43.5" hidden="1" customHeight="1" x14ac:dyDescent="0.65">
      <c r="A5" s="3">
        <v>2</v>
      </c>
      <c r="B5" s="3" t="s">
        <v>20</v>
      </c>
      <c r="C5" s="4" t="s">
        <v>21</v>
      </c>
      <c r="D5" s="4" t="s">
        <v>22</v>
      </c>
      <c r="E5" s="4" t="s">
        <v>23</v>
      </c>
      <c r="F5" s="4" t="s">
        <v>24</v>
      </c>
      <c r="G5" s="4" t="s">
        <v>25</v>
      </c>
      <c r="H5" s="4" t="s">
        <v>26</v>
      </c>
      <c r="I5" s="4" t="s">
        <v>27</v>
      </c>
      <c r="J5" s="46" t="s">
        <v>28</v>
      </c>
      <c r="K5" s="57"/>
      <c r="L5" s="4" t="s">
        <v>18</v>
      </c>
      <c r="M5" s="4" t="s">
        <v>19</v>
      </c>
    </row>
    <row r="6" spans="1:13" ht="122.5" hidden="1" x14ac:dyDescent="0.65">
      <c r="A6" s="5">
        <v>3</v>
      </c>
      <c r="B6" s="5" t="s">
        <v>20</v>
      </c>
      <c r="C6" s="6" t="s">
        <v>29</v>
      </c>
      <c r="D6" s="6" t="s">
        <v>30</v>
      </c>
      <c r="E6" s="6" t="s">
        <v>31</v>
      </c>
      <c r="F6" s="6" t="s">
        <v>32</v>
      </c>
      <c r="G6" s="6" t="s">
        <v>33</v>
      </c>
      <c r="H6" s="6" t="s">
        <v>34</v>
      </c>
      <c r="I6" s="6" t="s">
        <v>27</v>
      </c>
      <c r="J6" s="47" t="s">
        <v>226</v>
      </c>
      <c r="K6" s="58"/>
      <c r="L6" s="6" t="s">
        <v>18</v>
      </c>
      <c r="M6" s="6" t="s">
        <v>19</v>
      </c>
    </row>
    <row r="7" spans="1:13" ht="36" hidden="1" customHeight="1" x14ac:dyDescent="0.65">
      <c r="A7" s="5">
        <v>4</v>
      </c>
      <c r="B7" s="5" t="s">
        <v>20</v>
      </c>
      <c r="C7" s="6" t="s">
        <v>35</v>
      </c>
      <c r="D7" s="6" t="s">
        <v>36</v>
      </c>
      <c r="E7" s="6" t="s">
        <v>37</v>
      </c>
      <c r="F7" s="6" t="s">
        <v>38</v>
      </c>
      <c r="G7" s="6" t="s">
        <v>39</v>
      </c>
      <c r="H7" s="6" t="s">
        <v>34</v>
      </c>
      <c r="I7" s="6" t="s">
        <v>27</v>
      </c>
      <c r="J7" s="47" t="s">
        <v>40</v>
      </c>
      <c r="K7" s="58"/>
      <c r="L7" s="6" t="s">
        <v>18</v>
      </c>
      <c r="M7" s="6" t="s">
        <v>41</v>
      </c>
    </row>
    <row r="8" spans="1:13" ht="65.150000000000006" customHeight="1" x14ac:dyDescent="0.65">
      <c r="A8" s="3">
        <v>5</v>
      </c>
      <c r="B8" s="3" t="s">
        <v>42</v>
      </c>
      <c r="C8" s="4" t="s">
        <v>43</v>
      </c>
      <c r="D8" s="4" t="s">
        <v>44</v>
      </c>
      <c r="E8" s="4" t="s">
        <v>45</v>
      </c>
      <c r="F8" s="4" t="s">
        <v>13</v>
      </c>
      <c r="G8" s="4" t="s">
        <v>46</v>
      </c>
      <c r="H8" s="4" t="s">
        <v>47</v>
      </c>
      <c r="I8" s="4" t="s">
        <v>27</v>
      </c>
      <c r="J8" s="46" t="s">
        <v>48</v>
      </c>
      <c r="K8" s="57"/>
      <c r="L8" s="4" t="s">
        <v>18</v>
      </c>
      <c r="M8" s="4" t="s">
        <v>49</v>
      </c>
    </row>
    <row r="9" spans="1:13" ht="36.75" x14ac:dyDescent="0.65">
      <c r="A9" s="3">
        <v>6</v>
      </c>
      <c r="B9" s="3" t="s">
        <v>42</v>
      </c>
      <c r="C9" s="4" t="s">
        <v>50</v>
      </c>
      <c r="D9" s="4" t="s">
        <v>51</v>
      </c>
      <c r="E9" s="4" t="s">
        <v>52</v>
      </c>
      <c r="F9" s="4" t="s">
        <v>53</v>
      </c>
      <c r="G9" s="4" t="s">
        <v>54</v>
      </c>
      <c r="H9" s="4" t="s">
        <v>55</v>
      </c>
      <c r="I9" s="4" t="s">
        <v>56</v>
      </c>
      <c r="J9" s="46" t="s">
        <v>57</v>
      </c>
      <c r="K9" s="57"/>
      <c r="L9" s="4" t="s">
        <v>18</v>
      </c>
      <c r="M9" s="7" t="s">
        <v>58</v>
      </c>
    </row>
    <row r="10" spans="1:13" ht="86.15" hidden="1" customHeight="1" x14ac:dyDescent="0.65">
      <c r="A10" s="3">
        <v>7</v>
      </c>
      <c r="B10" s="3" t="s">
        <v>59</v>
      </c>
      <c r="C10" s="4" t="s">
        <v>60</v>
      </c>
      <c r="D10" s="4" t="s">
        <v>61</v>
      </c>
      <c r="E10" s="4" t="s">
        <v>62</v>
      </c>
      <c r="F10" s="4" t="s">
        <v>13</v>
      </c>
      <c r="G10" s="43" t="s">
        <v>63</v>
      </c>
      <c r="H10" s="21" t="s">
        <v>47</v>
      </c>
      <c r="I10" s="44" t="s">
        <v>27</v>
      </c>
      <c r="J10" s="46" t="s">
        <v>48</v>
      </c>
      <c r="K10" s="57" t="s">
        <v>231</v>
      </c>
      <c r="L10" s="4" t="s">
        <v>18</v>
      </c>
      <c r="M10" s="4" t="s">
        <v>64</v>
      </c>
    </row>
    <row r="11" spans="1:13" ht="63.65" customHeight="1" x14ac:dyDescent="0.65">
      <c r="A11" s="5">
        <v>8</v>
      </c>
      <c r="B11" s="5" t="s">
        <v>42</v>
      </c>
      <c r="C11" s="6" t="s">
        <v>65</v>
      </c>
      <c r="D11" s="6" t="s">
        <v>66</v>
      </c>
      <c r="E11" s="6" t="s">
        <v>67</v>
      </c>
      <c r="F11" s="6" t="s">
        <v>68</v>
      </c>
      <c r="G11" s="6" t="s">
        <v>69</v>
      </c>
      <c r="H11" s="45" t="s">
        <v>70</v>
      </c>
      <c r="I11" s="21" t="s">
        <v>71</v>
      </c>
      <c r="J11" s="48" t="s">
        <v>117</v>
      </c>
      <c r="K11" s="59"/>
      <c r="L11" s="6" t="s">
        <v>18</v>
      </c>
      <c r="M11" s="6" t="s">
        <v>72</v>
      </c>
    </row>
    <row r="12" spans="1:13" ht="31.5" customHeight="1" x14ac:dyDescent="0.65">
      <c r="A12" s="5">
        <v>9</v>
      </c>
      <c r="B12" s="5" t="s">
        <v>42</v>
      </c>
      <c r="C12" s="6" t="s">
        <v>73</v>
      </c>
      <c r="D12" s="6" t="s">
        <v>74</v>
      </c>
      <c r="E12" s="6" t="s">
        <v>75</v>
      </c>
      <c r="F12" s="6" t="s">
        <v>76</v>
      </c>
      <c r="G12" s="6" t="s">
        <v>77</v>
      </c>
      <c r="H12" s="6" t="s">
        <v>78</v>
      </c>
      <c r="I12" s="8" t="s">
        <v>79</v>
      </c>
      <c r="J12" s="47" t="s">
        <v>227</v>
      </c>
      <c r="K12" s="58"/>
      <c r="L12" s="6" t="s">
        <v>18</v>
      </c>
      <c r="M12" s="6" t="s">
        <v>72</v>
      </c>
    </row>
    <row r="13" spans="1:13" ht="87.65" customHeight="1" x14ac:dyDescent="0.65">
      <c r="A13" s="3">
        <v>10</v>
      </c>
      <c r="B13" s="3" t="s">
        <v>80</v>
      </c>
      <c r="C13" s="4" t="s">
        <v>81</v>
      </c>
      <c r="D13" s="4" t="s">
        <v>82</v>
      </c>
      <c r="E13" s="4" t="s">
        <v>83</v>
      </c>
      <c r="F13" s="4" t="s">
        <v>84</v>
      </c>
      <c r="G13" s="4" t="s">
        <v>85</v>
      </c>
      <c r="H13" s="4" t="s">
        <v>86</v>
      </c>
      <c r="I13" s="4" t="s">
        <v>87</v>
      </c>
      <c r="J13" s="46" t="s">
        <v>88</v>
      </c>
      <c r="K13" s="57"/>
      <c r="L13" s="4" t="s">
        <v>18</v>
      </c>
      <c r="M13" s="4" t="s">
        <v>72</v>
      </c>
    </row>
    <row r="14" spans="1:13" s="11" customFormat="1" ht="39.65" hidden="1" customHeight="1" x14ac:dyDescent="0.75">
      <c r="A14" s="3">
        <v>11</v>
      </c>
      <c r="B14" s="9" t="s">
        <v>20</v>
      </c>
      <c r="C14" s="10" t="s">
        <v>89</v>
      </c>
      <c r="D14" s="10" t="s">
        <v>90</v>
      </c>
      <c r="E14" s="10" t="s">
        <v>91</v>
      </c>
      <c r="F14" s="10" t="s">
        <v>92</v>
      </c>
      <c r="G14" s="10" t="s">
        <v>93</v>
      </c>
      <c r="H14" s="10" t="s">
        <v>93</v>
      </c>
      <c r="I14" s="10" t="s">
        <v>94</v>
      </c>
      <c r="J14" s="49" t="s">
        <v>95</v>
      </c>
      <c r="K14" s="60"/>
      <c r="L14" s="10"/>
      <c r="M14" s="10" t="s">
        <v>64</v>
      </c>
    </row>
    <row r="15" spans="1:13" s="11" customFormat="1" ht="102" customHeight="1" x14ac:dyDescent="0.75">
      <c r="A15" s="12">
        <v>12</v>
      </c>
      <c r="B15" s="12" t="s">
        <v>42</v>
      </c>
      <c r="C15" s="13" t="s">
        <v>96</v>
      </c>
      <c r="D15" s="13" t="s">
        <v>97</v>
      </c>
      <c r="E15" s="13" t="s">
        <v>98</v>
      </c>
      <c r="F15" s="13" t="s">
        <v>99</v>
      </c>
      <c r="G15" s="13" t="s">
        <v>100</v>
      </c>
      <c r="H15" s="14"/>
      <c r="I15" s="13" t="s">
        <v>101</v>
      </c>
      <c r="J15" s="50" t="s">
        <v>101</v>
      </c>
      <c r="K15" s="61"/>
      <c r="L15" s="14"/>
      <c r="M15" s="4" t="s">
        <v>72</v>
      </c>
    </row>
    <row r="16" spans="1:13" s="11" customFormat="1" ht="64" hidden="1" customHeight="1" x14ac:dyDescent="0.75">
      <c r="A16" s="15">
        <v>13</v>
      </c>
      <c r="B16" s="16" t="s">
        <v>20</v>
      </c>
      <c r="C16" s="17" t="s">
        <v>102</v>
      </c>
      <c r="D16" s="17" t="s">
        <v>103</v>
      </c>
      <c r="E16" s="17" t="s">
        <v>104</v>
      </c>
      <c r="F16" s="18" t="s">
        <v>105</v>
      </c>
      <c r="G16" s="17" t="s">
        <v>106</v>
      </c>
      <c r="H16" s="18"/>
      <c r="I16" s="18" t="s">
        <v>107</v>
      </c>
      <c r="J16" s="51" t="s">
        <v>144</v>
      </c>
      <c r="K16" s="62"/>
      <c r="L16" s="18"/>
      <c r="M16" s="10" t="s">
        <v>64</v>
      </c>
    </row>
    <row r="17" spans="1:13" s="22" customFormat="1" ht="98.15" customHeight="1" x14ac:dyDescent="0.75">
      <c r="A17" s="15">
        <v>14</v>
      </c>
      <c r="B17" s="15" t="s">
        <v>42</v>
      </c>
      <c r="C17" s="19" t="s">
        <v>108</v>
      </c>
      <c r="D17" s="20" t="s">
        <v>109</v>
      </c>
      <c r="E17" s="20" t="s">
        <v>110</v>
      </c>
      <c r="F17" s="19" t="s">
        <v>111</v>
      </c>
      <c r="G17" s="19" t="s">
        <v>112</v>
      </c>
      <c r="H17" s="20" t="s">
        <v>113</v>
      </c>
      <c r="I17" s="20" t="s">
        <v>70</v>
      </c>
      <c r="J17" s="52" t="s">
        <v>117</v>
      </c>
      <c r="K17" s="63"/>
      <c r="L17" s="20" t="s">
        <v>18</v>
      </c>
      <c r="M17" s="21" t="s">
        <v>72</v>
      </c>
    </row>
    <row r="18" spans="1:13" s="11" customFormat="1" ht="24.5" hidden="1" x14ac:dyDescent="0.75">
      <c r="A18" s="23">
        <v>15</v>
      </c>
      <c r="B18" s="24" t="s">
        <v>20</v>
      </c>
      <c r="C18" s="25" t="s">
        <v>114</v>
      </c>
      <c r="D18" s="26"/>
      <c r="E18" s="26"/>
      <c r="F18" s="26" t="s">
        <v>115</v>
      </c>
      <c r="G18" s="26" t="s">
        <v>116</v>
      </c>
      <c r="H18" s="26" t="s">
        <v>70</v>
      </c>
      <c r="I18" s="26" t="s">
        <v>71</v>
      </c>
      <c r="J18" s="53" t="s">
        <v>117</v>
      </c>
      <c r="K18" s="64"/>
      <c r="L18" s="26" t="s">
        <v>18</v>
      </c>
      <c r="M18" s="27" t="s">
        <v>118</v>
      </c>
    </row>
    <row r="19" spans="1:13" ht="24.5" hidden="1" x14ac:dyDescent="0.65">
      <c r="A19" s="23">
        <v>15</v>
      </c>
      <c r="B19" s="24" t="s">
        <v>20</v>
      </c>
      <c r="C19" s="28" t="s">
        <v>119</v>
      </c>
      <c r="D19" s="28"/>
      <c r="E19" s="28"/>
      <c r="F19" s="28" t="s">
        <v>120</v>
      </c>
      <c r="G19" s="28" t="s">
        <v>121</v>
      </c>
      <c r="H19" s="28" t="s">
        <v>122</v>
      </c>
      <c r="I19" s="28"/>
      <c r="J19" s="53" t="s">
        <v>122</v>
      </c>
      <c r="K19" s="64"/>
      <c r="L19" s="28" t="s">
        <v>18</v>
      </c>
      <c r="M19" s="27" t="s">
        <v>118</v>
      </c>
    </row>
    <row r="20" spans="1:13" ht="36.75" hidden="1" x14ac:dyDescent="0.65">
      <c r="A20" s="23">
        <v>16</v>
      </c>
      <c r="B20" s="24" t="s">
        <v>20</v>
      </c>
      <c r="C20" s="29" t="s">
        <v>123</v>
      </c>
      <c r="D20" s="28"/>
      <c r="E20" s="28"/>
      <c r="F20" s="28" t="s">
        <v>124</v>
      </c>
      <c r="G20" s="28" t="s">
        <v>125</v>
      </c>
      <c r="H20" s="29" t="s">
        <v>126</v>
      </c>
      <c r="I20" s="28"/>
      <c r="J20" s="53" t="s">
        <v>127</v>
      </c>
      <c r="K20" s="64"/>
      <c r="L20" s="28" t="s">
        <v>18</v>
      </c>
      <c r="M20" s="27" t="s">
        <v>118</v>
      </c>
    </row>
  </sheetData>
  <autoFilter ref="A3:M20" xr:uid="{32F94D76-F44B-4961-8D1B-4E3975A1E276}">
    <filterColumn colId="1">
      <filters>
        <filter val="PDCA Lit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7BEB2-C9DE-4891-B81B-AFEB020707C9}">
  <dimension ref="A1:O18"/>
  <sheetViews>
    <sheetView topLeftCell="H1" zoomScale="70" zoomScaleNormal="70" workbookViewId="0">
      <selection activeCell="C17" sqref="C17"/>
    </sheetView>
  </sheetViews>
  <sheetFormatPr defaultColWidth="8.6796875" defaultRowHeight="16" x14ac:dyDescent="0.75"/>
  <cols>
    <col min="1" max="1" width="16.36328125" style="34" customWidth="1"/>
    <col min="2" max="2" width="36.54296875" style="34" customWidth="1"/>
    <col min="3" max="3" width="32.36328125" style="34" customWidth="1"/>
    <col min="4" max="4" width="28.54296875" style="34" customWidth="1"/>
    <col min="5" max="11" width="30.36328125" style="34" customWidth="1"/>
    <col min="12" max="12" width="27.36328125" style="34" customWidth="1"/>
    <col min="13" max="13" width="30.54296875" style="34" customWidth="1"/>
    <col min="14" max="14" width="33" style="37" customWidth="1"/>
    <col min="15" max="15" width="30.36328125" style="37" customWidth="1"/>
    <col min="16" max="16384" width="8.6796875" style="34"/>
  </cols>
  <sheetData>
    <row r="1" spans="1:15" x14ac:dyDescent="0.75">
      <c r="A1" s="30" t="s">
        <v>128</v>
      </c>
      <c r="B1" s="31" t="s">
        <v>20</v>
      </c>
      <c r="C1" s="31" t="s">
        <v>20</v>
      </c>
      <c r="D1" s="31" t="s">
        <v>20</v>
      </c>
      <c r="E1" s="31" t="s">
        <v>20</v>
      </c>
      <c r="F1" s="31" t="s">
        <v>20</v>
      </c>
      <c r="G1" s="31" t="s">
        <v>20</v>
      </c>
      <c r="H1" s="31" t="s">
        <v>20</v>
      </c>
      <c r="I1" s="32" t="s">
        <v>42</v>
      </c>
      <c r="J1" s="32" t="s">
        <v>42</v>
      </c>
      <c r="K1" s="32" t="s">
        <v>42</v>
      </c>
      <c r="L1" s="32" t="s">
        <v>42</v>
      </c>
      <c r="M1" s="32" t="s">
        <v>42</v>
      </c>
      <c r="N1" s="33" t="s">
        <v>42</v>
      </c>
      <c r="O1" s="33" t="s">
        <v>42</v>
      </c>
    </row>
    <row r="2" spans="1:15" ht="48" x14ac:dyDescent="0.75">
      <c r="A2" s="30" t="s">
        <v>129</v>
      </c>
      <c r="B2" s="34" t="s">
        <v>130</v>
      </c>
      <c r="C2" s="34" t="s">
        <v>131</v>
      </c>
      <c r="D2" s="35" t="s">
        <v>132</v>
      </c>
      <c r="E2" s="34" t="s">
        <v>133</v>
      </c>
      <c r="F2" s="34" t="s">
        <v>60</v>
      </c>
      <c r="G2" s="34" t="s">
        <v>134</v>
      </c>
      <c r="H2" s="35" t="s">
        <v>135</v>
      </c>
      <c r="I2" s="35" t="s">
        <v>136</v>
      </c>
      <c r="J2" s="34" t="s">
        <v>137</v>
      </c>
      <c r="K2" s="34" t="s">
        <v>138</v>
      </c>
      <c r="L2" s="35" t="s">
        <v>139</v>
      </c>
      <c r="M2" s="34" t="s">
        <v>140</v>
      </c>
      <c r="N2" s="36" t="s">
        <v>141</v>
      </c>
      <c r="O2" s="36" t="s">
        <v>97</v>
      </c>
    </row>
    <row r="3" spans="1:15" ht="32" x14ac:dyDescent="0.75">
      <c r="A3" s="30" t="s">
        <v>142</v>
      </c>
      <c r="B3" s="35" t="s">
        <v>17</v>
      </c>
      <c r="C3" s="35" t="s">
        <v>143</v>
      </c>
      <c r="D3" s="34" t="s">
        <v>144</v>
      </c>
      <c r="E3" s="34" t="s">
        <v>145</v>
      </c>
      <c r="F3" s="35" t="s">
        <v>146</v>
      </c>
      <c r="G3" s="35" t="s">
        <v>95</v>
      </c>
      <c r="H3" s="35" t="s">
        <v>106</v>
      </c>
      <c r="I3" s="35"/>
      <c r="J3" s="35" t="s">
        <v>88</v>
      </c>
      <c r="K3" s="35" t="s">
        <v>147</v>
      </c>
      <c r="L3" s="35" t="s">
        <v>48</v>
      </c>
      <c r="M3" s="34" t="s">
        <v>148</v>
      </c>
      <c r="N3" s="37" t="s">
        <v>149</v>
      </c>
      <c r="O3" s="36"/>
    </row>
    <row r="4" spans="1:15" x14ac:dyDescent="0.75">
      <c r="A4" s="30" t="s">
        <v>150</v>
      </c>
      <c r="B4" s="34" t="s">
        <v>14</v>
      </c>
      <c r="C4" s="34" t="s">
        <v>151</v>
      </c>
      <c r="D4" s="34" t="s">
        <v>33</v>
      </c>
      <c r="E4" s="34" t="s">
        <v>39</v>
      </c>
      <c r="F4" s="34" t="s">
        <v>63</v>
      </c>
      <c r="G4" s="34" t="s">
        <v>152</v>
      </c>
      <c r="H4" s="34" t="s">
        <v>153</v>
      </c>
      <c r="I4" s="38" t="s">
        <v>154</v>
      </c>
      <c r="J4" s="39" t="s">
        <v>155</v>
      </c>
      <c r="K4" s="38" t="s">
        <v>156</v>
      </c>
      <c r="L4" s="34" t="s">
        <v>157</v>
      </c>
      <c r="M4" s="34" t="s">
        <v>54</v>
      </c>
      <c r="N4" s="37" t="s">
        <v>158</v>
      </c>
      <c r="O4" s="37" t="s">
        <v>100</v>
      </c>
    </row>
    <row r="5" spans="1:15" x14ac:dyDescent="0.75">
      <c r="A5" s="34" t="s">
        <v>159</v>
      </c>
      <c r="B5" s="34" t="s">
        <v>160</v>
      </c>
      <c r="C5" s="34" t="s">
        <v>161</v>
      </c>
      <c r="D5" s="34" t="s">
        <v>162</v>
      </c>
      <c r="E5" s="34" t="s">
        <v>163</v>
      </c>
      <c r="F5" s="34" t="s">
        <v>164</v>
      </c>
      <c r="G5" s="34" t="s">
        <v>165</v>
      </c>
      <c r="H5" s="34" t="s">
        <v>166</v>
      </c>
      <c r="I5" s="38" t="s">
        <v>167</v>
      </c>
      <c r="J5" s="39" t="s">
        <v>168</v>
      </c>
      <c r="K5" s="38" t="s">
        <v>169</v>
      </c>
      <c r="L5" s="40" t="s">
        <v>170</v>
      </c>
      <c r="M5" s="38" t="s">
        <v>171</v>
      </c>
      <c r="N5" s="38" t="s">
        <v>172</v>
      </c>
      <c r="O5" s="41" t="s">
        <v>173</v>
      </c>
    </row>
    <row r="6" spans="1:15" x14ac:dyDescent="0.75">
      <c r="B6" s="34" t="s">
        <v>174</v>
      </c>
      <c r="C6" s="34" t="s">
        <v>175</v>
      </c>
      <c r="D6" s="34" t="s">
        <v>176</v>
      </c>
      <c r="E6" s="34" t="s">
        <v>177</v>
      </c>
      <c r="F6" s="34" t="s">
        <v>178</v>
      </c>
      <c r="G6" s="34" t="s">
        <v>179</v>
      </c>
      <c r="H6" s="34" t="s">
        <v>180</v>
      </c>
      <c r="I6" s="38" t="s">
        <v>181</v>
      </c>
      <c r="J6" s="39" t="s">
        <v>182</v>
      </c>
      <c r="K6" s="38" t="s">
        <v>183</v>
      </c>
      <c r="L6" s="40" t="s">
        <v>184</v>
      </c>
      <c r="M6" s="38" t="s">
        <v>185</v>
      </c>
      <c r="N6" s="38" t="s">
        <v>186</v>
      </c>
      <c r="O6" s="41" t="s">
        <v>187</v>
      </c>
    </row>
    <row r="7" spans="1:15" x14ac:dyDescent="0.75">
      <c r="B7" s="34" t="s">
        <v>188</v>
      </c>
      <c r="C7" s="34" t="s">
        <v>189</v>
      </c>
      <c r="D7" s="34" t="s">
        <v>190</v>
      </c>
      <c r="E7" s="34" t="s">
        <v>191</v>
      </c>
      <c r="F7" s="34" t="s">
        <v>192</v>
      </c>
      <c r="G7" s="34" t="s">
        <v>193</v>
      </c>
      <c r="H7" s="34" t="s">
        <v>194</v>
      </c>
      <c r="I7" s="38" t="s">
        <v>195</v>
      </c>
      <c r="J7" s="39" t="s">
        <v>196</v>
      </c>
      <c r="K7" s="38" t="s">
        <v>197</v>
      </c>
      <c r="L7" s="40" t="s">
        <v>198</v>
      </c>
      <c r="M7" s="38" t="s">
        <v>199</v>
      </c>
      <c r="N7" s="38" t="s">
        <v>200</v>
      </c>
      <c r="O7" s="41" t="s">
        <v>201</v>
      </c>
    </row>
    <row r="8" spans="1:15" x14ac:dyDescent="0.75">
      <c r="B8" s="34" t="s">
        <v>157</v>
      </c>
      <c r="C8" s="34" t="s">
        <v>202</v>
      </c>
      <c r="F8" s="34" t="s">
        <v>203</v>
      </c>
      <c r="G8" s="34" t="s">
        <v>204</v>
      </c>
      <c r="H8" s="34" t="s">
        <v>205</v>
      </c>
      <c r="I8" s="38" t="s">
        <v>206</v>
      </c>
      <c r="J8" s="38"/>
      <c r="K8" s="38"/>
      <c r="M8" s="38" t="s">
        <v>207</v>
      </c>
      <c r="N8" s="38" t="s">
        <v>208</v>
      </c>
      <c r="O8" s="41" t="s">
        <v>209</v>
      </c>
    </row>
    <row r="9" spans="1:15" x14ac:dyDescent="0.75">
      <c r="B9" s="34" t="s">
        <v>210</v>
      </c>
      <c r="C9" s="34" t="s">
        <v>211</v>
      </c>
      <c r="F9" s="34" t="s">
        <v>212</v>
      </c>
      <c r="H9" s="34" t="s">
        <v>213</v>
      </c>
      <c r="I9" s="38" t="s">
        <v>214</v>
      </c>
      <c r="J9" s="38"/>
      <c r="K9" s="38"/>
    </row>
    <row r="10" spans="1:15" x14ac:dyDescent="0.75">
      <c r="B10" s="34" t="s">
        <v>215</v>
      </c>
      <c r="C10" s="34" t="s">
        <v>216</v>
      </c>
      <c r="F10" s="35" t="s">
        <v>217</v>
      </c>
      <c r="G10" s="35"/>
      <c r="H10" s="35" t="s">
        <v>218</v>
      </c>
      <c r="I10" s="38" t="s">
        <v>219</v>
      </c>
      <c r="J10" s="38"/>
      <c r="K10" s="38"/>
      <c r="O10" s="36"/>
    </row>
    <row r="11" spans="1:15" ht="13.5" customHeight="1" x14ac:dyDescent="0.8">
      <c r="B11" s="34" t="s">
        <v>220</v>
      </c>
      <c r="C11" s="34" t="s">
        <v>221</v>
      </c>
      <c r="F11" s="34" t="s">
        <v>222</v>
      </c>
      <c r="H11" s="42" t="s">
        <v>223</v>
      </c>
    </row>
    <row r="12" spans="1:15" x14ac:dyDescent="0.75">
      <c r="B12" s="35" t="s">
        <v>224</v>
      </c>
      <c r="F12" s="34" t="s">
        <v>210</v>
      </c>
      <c r="H12" s="34" t="s">
        <v>225</v>
      </c>
    </row>
    <row r="17" spans="1:1" x14ac:dyDescent="0.75">
      <c r="A17" s="34">
        <v>15</v>
      </c>
    </row>
    <row r="18" spans="1:1" x14ac:dyDescent="0.75">
      <c r="A18" s="34">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F553A-1462-4C00-9BDD-547C7094B83F}">
  <dimension ref="B1:G66"/>
  <sheetViews>
    <sheetView tabSelected="1" workbookViewId="0">
      <selection activeCell="C15" sqref="C15"/>
    </sheetView>
  </sheetViews>
  <sheetFormatPr defaultRowHeight="14.75" x14ac:dyDescent="0.75"/>
  <cols>
    <col min="1" max="1" width="5.31640625" customWidth="1"/>
    <col min="2" max="2" width="32" customWidth="1"/>
    <col min="3" max="3" width="19" style="65" customWidth="1"/>
    <col min="4" max="6" width="15.81640625" style="65" customWidth="1"/>
    <col min="7" max="7" width="19" customWidth="1"/>
  </cols>
  <sheetData>
    <row r="1" spans="2:7" ht="15.5" thickBot="1" x14ac:dyDescent="0.9"/>
    <row r="2" spans="2:7" ht="16.75" thickBot="1" x14ac:dyDescent="0.9">
      <c r="B2" s="146" t="s">
        <v>325</v>
      </c>
      <c r="C2" s="147"/>
      <c r="D2" s="147"/>
      <c r="E2" s="147"/>
      <c r="F2" s="147"/>
      <c r="G2" s="148"/>
    </row>
    <row r="3" spans="2:7" ht="30.25" thickBot="1" x14ac:dyDescent="0.9">
      <c r="B3" s="116" t="s">
        <v>326</v>
      </c>
      <c r="C3" s="117" t="s">
        <v>327</v>
      </c>
      <c r="D3" s="117" t="s">
        <v>328</v>
      </c>
      <c r="E3" s="117" t="s">
        <v>329</v>
      </c>
      <c r="F3" s="117" t="s">
        <v>330</v>
      </c>
      <c r="G3" s="118" t="s">
        <v>331</v>
      </c>
    </row>
    <row r="4" spans="2:7" x14ac:dyDescent="0.75">
      <c r="B4" s="119" t="s">
        <v>144</v>
      </c>
      <c r="C4" s="120">
        <v>274</v>
      </c>
      <c r="D4" s="120">
        <v>22</v>
      </c>
      <c r="E4" s="120">
        <v>14</v>
      </c>
      <c r="F4" s="120">
        <v>7</v>
      </c>
      <c r="G4" s="121">
        <f>SUM(C4:F4)</f>
        <v>317</v>
      </c>
    </row>
    <row r="5" spans="2:7" x14ac:dyDescent="0.75">
      <c r="B5" s="122" t="s">
        <v>317</v>
      </c>
      <c r="C5" s="123">
        <v>217</v>
      </c>
      <c r="D5" s="123">
        <v>23</v>
      </c>
      <c r="E5" s="123">
        <v>21</v>
      </c>
      <c r="F5" s="123">
        <v>7</v>
      </c>
      <c r="G5" s="124">
        <f t="shared" ref="G5:G26" si="0">SUM(C5:F5)</f>
        <v>268</v>
      </c>
    </row>
    <row r="6" spans="2:7" x14ac:dyDescent="0.75">
      <c r="B6" s="122" t="s">
        <v>265</v>
      </c>
      <c r="C6" s="123">
        <v>136</v>
      </c>
      <c r="D6" s="123">
        <v>15</v>
      </c>
      <c r="E6" s="123">
        <v>21</v>
      </c>
      <c r="F6" s="123">
        <v>14</v>
      </c>
      <c r="G6" s="124">
        <f t="shared" si="0"/>
        <v>186</v>
      </c>
    </row>
    <row r="7" spans="2:7" x14ac:dyDescent="0.75">
      <c r="B7" s="122" t="s">
        <v>147</v>
      </c>
      <c r="C7" s="123">
        <v>104</v>
      </c>
      <c r="D7" s="123">
        <v>38</v>
      </c>
      <c r="E7" s="123">
        <v>14</v>
      </c>
      <c r="F7" s="123">
        <v>7</v>
      </c>
      <c r="G7" s="124">
        <f t="shared" si="0"/>
        <v>163</v>
      </c>
    </row>
    <row r="8" spans="2:7" x14ac:dyDescent="0.75">
      <c r="B8" s="122" t="s">
        <v>127</v>
      </c>
      <c r="C8" s="73">
        <v>110</v>
      </c>
      <c r="D8" s="73">
        <v>44</v>
      </c>
      <c r="E8" s="73">
        <v>7</v>
      </c>
      <c r="F8" s="73">
        <v>0</v>
      </c>
      <c r="G8" s="124">
        <f>SUM(C8:F8)</f>
        <v>161</v>
      </c>
    </row>
    <row r="9" spans="2:7" x14ac:dyDescent="0.75">
      <c r="B9" s="122" t="s">
        <v>238</v>
      </c>
      <c r="C9" s="123">
        <v>110</v>
      </c>
      <c r="D9" s="123">
        <v>29</v>
      </c>
      <c r="E9" s="123">
        <v>21</v>
      </c>
      <c r="F9" s="123">
        <v>0</v>
      </c>
      <c r="G9" s="124">
        <f t="shared" si="0"/>
        <v>160</v>
      </c>
    </row>
    <row r="10" spans="2:7" x14ac:dyDescent="0.75">
      <c r="B10" s="122" t="s">
        <v>332</v>
      </c>
      <c r="C10" s="123">
        <v>100</v>
      </c>
      <c r="D10" s="123">
        <v>7</v>
      </c>
      <c r="E10" s="123">
        <v>14</v>
      </c>
      <c r="F10" s="123">
        <v>0</v>
      </c>
      <c r="G10" s="124">
        <f t="shared" si="0"/>
        <v>121</v>
      </c>
    </row>
    <row r="11" spans="2:7" x14ac:dyDescent="0.75">
      <c r="B11" s="122" t="s">
        <v>267</v>
      </c>
      <c r="C11" s="123">
        <v>64</v>
      </c>
      <c r="D11" s="123">
        <v>36</v>
      </c>
      <c r="E11" s="123">
        <v>14</v>
      </c>
      <c r="F11" s="123">
        <v>7</v>
      </c>
      <c r="G11" s="124">
        <f t="shared" si="0"/>
        <v>121</v>
      </c>
    </row>
    <row r="12" spans="2:7" x14ac:dyDescent="0.75">
      <c r="B12" s="122" t="s">
        <v>264</v>
      </c>
      <c r="C12" s="123">
        <v>104</v>
      </c>
      <c r="D12" s="123">
        <v>14</v>
      </c>
      <c r="E12" s="123">
        <v>0</v>
      </c>
      <c r="F12" s="123">
        <v>0</v>
      </c>
      <c r="G12" s="124">
        <f t="shared" si="0"/>
        <v>118</v>
      </c>
    </row>
    <row r="13" spans="2:7" x14ac:dyDescent="0.75">
      <c r="B13" s="122" t="s">
        <v>333</v>
      </c>
      <c r="C13" s="123">
        <v>88</v>
      </c>
      <c r="D13" s="123">
        <v>23</v>
      </c>
      <c r="E13" s="123">
        <v>0</v>
      </c>
      <c r="F13" s="123">
        <v>7</v>
      </c>
      <c r="G13" s="124">
        <f t="shared" si="0"/>
        <v>118</v>
      </c>
    </row>
    <row r="14" spans="2:7" x14ac:dyDescent="0.75">
      <c r="B14" s="122" t="s">
        <v>263</v>
      </c>
      <c r="C14" s="123">
        <v>83</v>
      </c>
      <c r="D14" s="123">
        <v>14</v>
      </c>
      <c r="E14" s="123">
        <v>0</v>
      </c>
      <c r="F14" s="123">
        <v>14</v>
      </c>
      <c r="G14" s="124">
        <f t="shared" si="0"/>
        <v>111</v>
      </c>
    </row>
    <row r="15" spans="2:7" x14ac:dyDescent="0.75">
      <c r="B15" s="122" t="s">
        <v>334</v>
      </c>
      <c r="C15" s="123">
        <v>78</v>
      </c>
      <c r="D15" s="123">
        <v>7</v>
      </c>
      <c r="E15" s="123">
        <v>7</v>
      </c>
      <c r="F15" s="123">
        <v>0</v>
      </c>
      <c r="G15" s="124">
        <f t="shared" si="0"/>
        <v>92</v>
      </c>
    </row>
    <row r="16" spans="2:7" x14ac:dyDescent="0.75">
      <c r="B16" s="122" t="s">
        <v>335</v>
      </c>
      <c r="C16" s="123">
        <v>76</v>
      </c>
      <c r="D16" s="123">
        <v>15</v>
      </c>
      <c r="E16" s="123">
        <v>0</v>
      </c>
      <c r="F16" s="123">
        <v>0</v>
      </c>
      <c r="G16" s="124">
        <f t="shared" si="0"/>
        <v>91</v>
      </c>
    </row>
    <row r="17" spans="2:7" x14ac:dyDescent="0.75">
      <c r="B17" s="122" t="s">
        <v>336</v>
      </c>
      <c r="C17" s="123">
        <v>59</v>
      </c>
      <c r="D17" s="123">
        <v>15</v>
      </c>
      <c r="E17" s="123">
        <v>7</v>
      </c>
      <c r="F17" s="123">
        <v>0</v>
      </c>
      <c r="G17" s="124">
        <f t="shared" si="0"/>
        <v>81</v>
      </c>
    </row>
    <row r="18" spans="2:7" x14ac:dyDescent="0.75">
      <c r="B18" s="122" t="s">
        <v>117</v>
      </c>
      <c r="C18" s="123">
        <v>48</v>
      </c>
      <c r="D18" s="123">
        <v>23</v>
      </c>
      <c r="E18" s="123">
        <v>0</v>
      </c>
      <c r="F18" s="123">
        <v>0</v>
      </c>
      <c r="G18" s="124">
        <f t="shared" si="0"/>
        <v>71</v>
      </c>
    </row>
    <row r="19" spans="2:7" x14ac:dyDescent="0.75">
      <c r="B19" s="122" t="s">
        <v>337</v>
      </c>
      <c r="C19" s="123">
        <v>36</v>
      </c>
      <c r="D19" s="123">
        <v>8</v>
      </c>
      <c r="E19" s="123">
        <v>7</v>
      </c>
      <c r="F19" s="123">
        <v>14</v>
      </c>
      <c r="G19" s="124">
        <f t="shared" si="0"/>
        <v>65</v>
      </c>
    </row>
    <row r="20" spans="2:7" x14ac:dyDescent="0.75">
      <c r="B20" s="122" t="s">
        <v>338</v>
      </c>
      <c r="C20" s="123">
        <v>40</v>
      </c>
      <c r="D20" s="123">
        <v>7</v>
      </c>
      <c r="E20" s="123">
        <v>0</v>
      </c>
      <c r="F20" s="123">
        <v>0</v>
      </c>
      <c r="G20" s="124">
        <f t="shared" si="0"/>
        <v>47</v>
      </c>
    </row>
    <row r="21" spans="2:7" x14ac:dyDescent="0.75">
      <c r="B21" s="122" t="s">
        <v>324</v>
      </c>
      <c r="C21" s="123">
        <v>39</v>
      </c>
      <c r="D21" s="123">
        <v>0</v>
      </c>
      <c r="E21" s="123">
        <v>0</v>
      </c>
      <c r="F21" s="123">
        <v>0</v>
      </c>
      <c r="G21" s="124">
        <f t="shared" si="0"/>
        <v>39</v>
      </c>
    </row>
    <row r="22" spans="2:7" x14ac:dyDescent="0.75">
      <c r="B22" s="122" t="s">
        <v>273</v>
      </c>
      <c r="C22" s="123">
        <v>22</v>
      </c>
      <c r="D22" s="123">
        <v>0</v>
      </c>
      <c r="E22" s="123">
        <v>0</v>
      </c>
      <c r="F22" s="123">
        <v>0</v>
      </c>
      <c r="G22" s="124">
        <f t="shared" si="0"/>
        <v>22</v>
      </c>
    </row>
    <row r="23" spans="2:7" x14ac:dyDescent="0.75">
      <c r="B23" s="122" t="s">
        <v>262</v>
      </c>
      <c r="C23" s="123"/>
      <c r="D23" s="123">
        <v>7</v>
      </c>
      <c r="E23" s="123">
        <v>7</v>
      </c>
      <c r="F23" s="123">
        <v>0</v>
      </c>
      <c r="G23" s="124">
        <f t="shared" si="0"/>
        <v>14</v>
      </c>
    </row>
    <row r="24" spans="2:7" x14ac:dyDescent="0.75">
      <c r="B24" s="122" t="s">
        <v>116</v>
      </c>
      <c r="C24" s="123"/>
      <c r="D24" s="123">
        <v>7</v>
      </c>
      <c r="E24" s="123">
        <v>0</v>
      </c>
      <c r="F24" s="123">
        <v>7</v>
      </c>
      <c r="G24" s="124">
        <f t="shared" si="0"/>
        <v>14</v>
      </c>
    </row>
    <row r="25" spans="2:7" x14ac:dyDescent="0.75">
      <c r="B25" s="122" t="s">
        <v>272</v>
      </c>
      <c r="C25" s="123">
        <v>8</v>
      </c>
      <c r="D25" s="123">
        <v>0</v>
      </c>
      <c r="E25" s="123">
        <v>0</v>
      </c>
      <c r="F25" s="123">
        <v>0</v>
      </c>
      <c r="G25" s="124">
        <f t="shared" si="0"/>
        <v>8</v>
      </c>
    </row>
    <row r="26" spans="2:7" ht="15.5" thickBot="1" x14ac:dyDescent="0.9">
      <c r="B26" s="125" t="s">
        <v>275</v>
      </c>
      <c r="C26" s="126"/>
      <c r="D26" s="126"/>
      <c r="E26" s="126">
        <v>7</v>
      </c>
      <c r="F26" s="126">
        <v>0</v>
      </c>
      <c r="G26" s="127">
        <f t="shared" si="0"/>
        <v>7</v>
      </c>
    </row>
    <row r="27" spans="2:7" ht="15.5" thickBot="1" x14ac:dyDescent="0.9"/>
    <row r="28" spans="2:7" ht="15.5" thickBot="1" x14ac:dyDescent="0.9">
      <c r="B28" s="116" t="s">
        <v>326</v>
      </c>
      <c r="C28" s="118" t="s">
        <v>331</v>
      </c>
    </row>
    <row r="29" spans="2:7" x14ac:dyDescent="0.75">
      <c r="B29" s="129" t="s">
        <v>144</v>
      </c>
      <c r="C29" s="121">
        <v>317</v>
      </c>
    </row>
    <row r="30" spans="2:7" x14ac:dyDescent="0.75">
      <c r="B30" s="128" t="s">
        <v>317</v>
      </c>
      <c r="C30" s="124">
        <v>268</v>
      </c>
    </row>
    <row r="31" spans="2:7" x14ac:dyDescent="0.75">
      <c r="B31" s="122" t="s">
        <v>265</v>
      </c>
      <c r="C31" s="124">
        <v>186</v>
      </c>
    </row>
    <row r="32" spans="2:7" x14ac:dyDescent="0.75">
      <c r="B32" s="122" t="s">
        <v>147</v>
      </c>
      <c r="C32" s="124">
        <v>163</v>
      </c>
    </row>
    <row r="33" spans="2:3" x14ac:dyDescent="0.75">
      <c r="B33" s="122" t="s">
        <v>238</v>
      </c>
      <c r="C33" s="124">
        <v>160</v>
      </c>
    </row>
    <row r="34" spans="2:3" x14ac:dyDescent="0.75">
      <c r="B34" s="122" t="s">
        <v>127</v>
      </c>
      <c r="C34" s="124">
        <v>161</v>
      </c>
    </row>
    <row r="35" spans="2:3" x14ac:dyDescent="0.75">
      <c r="B35" s="122" t="s">
        <v>332</v>
      </c>
      <c r="C35" s="124">
        <v>121</v>
      </c>
    </row>
    <row r="36" spans="2:3" x14ac:dyDescent="0.75">
      <c r="B36" s="122" t="s">
        <v>267</v>
      </c>
      <c r="C36" s="124">
        <v>121</v>
      </c>
    </row>
    <row r="37" spans="2:3" x14ac:dyDescent="0.75">
      <c r="B37" s="122" t="s">
        <v>264</v>
      </c>
      <c r="C37" s="124">
        <v>118</v>
      </c>
    </row>
    <row r="38" spans="2:3" x14ac:dyDescent="0.75">
      <c r="B38" s="122" t="s">
        <v>333</v>
      </c>
      <c r="C38" s="124">
        <v>118</v>
      </c>
    </row>
    <row r="39" spans="2:3" x14ac:dyDescent="0.75">
      <c r="B39" s="122" t="s">
        <v>263</v>
      </c>
      <c r="C39" s="124">
        <v>111</v>
      </c>
    </row>
    <row r="40" spans="2:3" x14ac:dyDescent="0.75">
      <c r="B40" s="128" t="s">
        <v>334</v>
      </c>
      <c r="C40" s="124">
        <v>92</v>
      </c>
    </row>
    <row r="41" spans="2:3" x14ac:dyDescent="0.75">
      <c r="B41" s="122" t="s">
        <v>335</v>
      </c>
      <c r="C41" s="124">
        <v>91</v>
      </c>
    </row>
    <row r="42" spans="2:3" x14ac:dyDescent="0.75">
      <c r="B42" s="122" t="s">
        <v>336</v>
      </c>
      <c r="C42" s="124">
        <v>81</v>
      </c>
    </row>
    <row r="43" spans="2:3" x14ac:dyDescent="0.75">
      <c r="B43" s="122" t="s">
        <v>117</v>
      </c>
      <c r="C43" s="124">
        <v>71</v>
      </c>
    </row>
    <row r="44" spans="2:3" x14ac:dyDescent="0.75">
      <c r="B44" s="122" t="s">
        <v>337</v>
      </c>
      <c r="C44" s="124">
        <v>65</v>
      </c>
    </row>
    <row r="45" spans="2:3" x14ac:dyDescent="0.75">
      <c r="B45" s="122" t="s">
        <v>338</v>
      </c>
      <c r="C45" s="124">
        <v>47</v>
      </c>
    </row>
    <row r="46" spans="2:3" x14ac:dyDescent="0.75">
      <c r="B46" s="122" t="s">
        <v>324</v>
      </c>
      <c r="C46" s="124">
        <v>39</v>
      </c>
    </row>
    <row r="47" spans="2:3" x14ac:dyDescent="0.75">
      <c r="B47" s="122" t="s">
        <v>273</v>
      </c>
      <c r="C47" s="124">
        <v>22</v>
      </c>
    </row>
    <row r="48" spans="2:3" x14ac:dyDescent="0.75">
      <c r="B48" s="122" t="s">
        <v>262</v>
      </c>
      <c r="C48" s="124">
        <v>14</v>
      </c>
    </row>
    <row r="49" spans="2:3" x14ac:dyDescent="0.75">
      <c r="B49" s="122" t="s">
        <v>116</v>
      </c>
      <c r="C49" s="124">
        <v>14</v>
      </c>
    </row>
    <row r="50" spans="2:3" x14ac:dyDescent="0.75">
      <c r="B50" s="122" t="s">
        <v>272</v>
      </c>
      <c r="C50" s="124">
        <v>8</v>
      </c>
    </row>
    <row r="51" spans="2:3" ht="15.5" thickBot="1" x14ac:dyDescent="0.9">
      <c r="B51" s="125" t="s">
        <v>275</v>
      </c>
      <c r="C51" s="130">
        <v>7</v>
      </c>
    </row>
    <row r="55" spans="2:3" ht="16" x14ac:dyDescent="0.8">
      <c r="B55" s="74" t="s">
        <v>243</v>
      </c>
    </row>
    <row r="56" spans="2:3" ht="16" x14ac:dyDescent="0.8">
      <c r="B56" s="75" t="s">
        <v>93</v>
      </c>
    </row>
    <row r="57" spans="2:3" ht="16" x14ac:dyDescent="0.8">
      <c r="B57" s="75" t="s">
        <v>244</v>
      </c>
    </row>
    <row r="58" spans="2:3" ht="16" x14ac:dyDescent="0.8">
      <c r="B58" s="74" t="s">
        <v>235</v>
      </c>
    </row>
    <row r="59" spans="2:3" ht="16" x14ac:dyDescent="0.8">
      <c r="B59" s="74" t="s">
        <v>156</v>
      </c>
    </row>
    <row r="60" spans="2:3" ht="16" x14ac:dyDescent="0.8">
      <c r="B60" s="74" t="s">
        <v>155</v>
      </c>
    </row>
    <row r="61" spans="2:3" ht="16" x14ac:dyDescent="0.8">
      <c r="B61" s="75" t="s">
        <v>232</v>
      </c>
    </row>
    <row r="62" spans="2:3" ht="16" x14ac:dyDescent="0.8">
      <c r="B62" s="74" t="s">
        <v>303</v>
      </c>
    </row>
    <row r="63" spans="2:3" ht="16" x14ac:dyDescent="0.8">
      <c r="B63" s="74" t="s">
        <v>233</v>
      </c>
    </row>
    <row r="64" spans="2:3" ht="32" x14ac:dyDescent="0.8">
      <c r="B64" s="74" t="s">
        <v>289</v>
      </c>
    </row>
    <row r="65" spans="2:2" ht="16" x14ac:dyDescent="0.8">
      <c r="B65" s="74" t="s">
        <v>237</v>
      </c>
    </row>
    <row r="66" spans="2:2" ht="16" x14ac:dyDescent="0.8">
      <c r="B66" s="75" t="s">
        <v>239</v>
      </c>
    </row>
  </sheetData>
  <mergeCells count="1">
    <mergeCell ref="B2:G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335C-CC7A-4EDD-92E6-FDEBE5427EA1}">
  <dimension ref="B1:G25"/>
  <sheetViews>
    <sheetView zoomScale="80" zoomScaleNormal="80" workbookViewId="0">
      <selection activeCell="G29" sqref="G29"/>
    </sheetView>
  </sheetViews>
  <sheetFormatPr defaultRowHeight="14.75" x14ac:dyDescent="0.75"/>
  <cols>
    <col min="1" max="1" width="5.31640625" customWidth="1"/>
    <col min="2" max="2" width="36.453125" customWidth="1"/>
    <col min="3" max="7" width="15.08984375" customWidth="1"/>
  </cols>
  <sheetData>
    <row r="1" spans="2:7" ht="15.5" thickBot="1" x14ac:dyDescent="0.9"/>
    <row r="2" spans="2:7" s="145" customFormat="1" ht="50.25" customHeight="1" thickBot="1" x14ac:dyDescent="1.1000000000000001">
      <c r="B2" s="142" t="s">
        <v>261</v>
      </c>
      <c r="C2" s="143" t="s">
        <v>320</v>
      </c>
      <c r="D2" s="143" t="s">
        <v>321</v>
      </c>
      <c r="E2" s="143" t="s">
        <v>322</v>
      </c>
      <c r="F2" s="143" t="s">
        <v>323</v>
      </c>
      <c r="G2" s="144" t="s">
        <v>339</v>
      </c>
    </row>
    <row r="3" spans="2:7" ht="24.25" x14ac:dyDescent="1.2">
      <c r="B3" s="131" t="s">
        <v>144</v>
      </c>
      <c r="C3" s="132" t="s">
        <v>18</v>
      </c>
      <c r="D3" s="132" t="s">
        <v>18</v>
      </c>
      <c r="E3" s="132" t="s">
        <v>18</v>
      </c>
      <c r="F3" s="132"/>
      <c r="G3" s="133"/>
    </row>
    <row r="4" spans="2:7" ht="24.25" x14ac:dyDescent="1.2">
      <c r="B4" s="134" t="s">
        <v>318</v>
      </c>
      <c r="C4" s="115" t="s">
        <v>18</v>
      </c>
      <c r="D4" s="115" t="s">
        <v>18</v>
      </c>
      <c r="E4" s="115" t="s">
        <v>18</v>
      </c>
      <c r="F4" s="115" t="s">
        <v>18</v>
      </c>
      <c r="G4" s="135" t="s">
        <v>18</v>
      </c>
    </row>
    <row r="5" spans="2:7" ht="24.25" x14ac:dyDescent="1.2">
      <c r="B5" s="134" t="s">
        <v>265</v>
      </c>
      <c r="C5" s="115" t="s">
        <v>18</v>
      </c>
      <c r="D5" s="115" t="s">
        <v>18</v>
      </c>
      <c r="E5" s="115" t="s">
        <v>18</v>
      </c>
      <c r="F5" s="115" t="s">
        <v>18</v>
      </c>
      <c r="G5" s="135" t="s">
        <v>18</v>
      </c>
    </row>
    <row r="6" spans="2:7" ht="24.25" x14ac:dyDescent="1.2">
      <c r="B6" s="134" t="s">
        <v>268</v>
      </c>
      <c r="C6" s="115" t="s">
        <v>18</v>
      </c>
      <c r="D6" s="115" t="s">
        <v>18</v>
      </c>
      <c r="E6" s="115" t="s">
        <v>18</v>
      </c>
      <c r="F6" s="115"/>
      <c r="G6" s="135"/>
    </row>
    <row r="7" spans="2:7" ht="24.25" x14ac:dyDescent="1.2">
      <c r="B7" s="134" t="s">
        <v>238</v>
      </c>
      <c r="C7" s="115" t="s">
        <v>18</v>
      </c>
      <c r="D7" s="115" t="s">
        <v>18</v>
      </c>
      <c r="E7" s="115" t="s">
        <v>18</v>
      </c>
      <c r="F7" s="115" t="s">
        <v>18</v>
      </c>
      <c r="G7" s="135" t="s">
        <v>18</v>
      </c>
    </row>
    <row r="8" spans="2:7" ht="24.25" x14ac:dyDescent="1.2">
      <c r="B8" s="134" t="s">
        <v>266</v>
      </c>
      <c r="C8" s="115" t="s">
        <v>18</v>
      </c>
      <c r="D8" s="115" t="s">
        <v>18</v>
      </c>
      <c r="E8" s="115" t="s">
        <v>18</v>
      </c>
      <c r="F8" s="115"/>
      <c r="G8" s="135"/>
    </row>
    <row r="9" spans="2:7" ht="24.25" x14ac:dyDescent="1.2">
      <c r="B9" s="134" t="s">
        <v>267</v>
      </c>
      <c r="C9" s="115" t="s">
        <v>18</v>
      </c>
      <c r="D9" s="115" t="s">
        <v>18</v>
      </c>
      <c r="E9" s="115" t="s">
        <v>18</v>
      </c>
      <c r="F9" s="115"/>
      <c r="G9" s="135"/>
    </row>
    <row r="10" spans="2:7" ht="24.25" x14ac:dyDescent="1.2">
      <c r="B10" s="134" t="s">
        <v>264</v>
      </c>
      <c r="C10" s="115" t="s">
        <v>18</v>
      </c>
      <c r="D10" s="115" t="s">
        <v>18</v>
      </c>
      <c r="E10" s="115" t="s">
        <v>18</v>
      </c>
      <c r="F10" s="115"/>
      <c r="G10" s="135"/>
    </row>
    <row r="11" spans="2:7" ht="24.25" x14ac:dyDescent="1.2">
      <c r="B11" s="134" t="s">
        <v>148</v>
      </c>
      <c r="C11" s="115" t="s">
        <v>18</v>
      </c>
      <c r="D11" s="115" t="s">
        <v>18</v>
      </c>
      <c r="E11" s="115" t="s">
        <v>18</v>
      </c>
      <c r="F11" s="136"/>
      <c r="G11" s="137"/>
    </row>
    <row r="12" spans="2:7" ht="24.25" x14ac:dyDescent="1.2">
      <c r="B12" s="134" t="s">
        <v>263</v>
      </c>
      <c r="C12" s="115" t="s">
        <v>18</v>
      </c>
      <c r="D12" s="115" t="s">
        <v>18</v>
      </c>
      <c r="E12" s="115" t="s">
        <v>18</v>
      </c>
      <c r="F12" s="115"/>
      <c r="G12" s="135"/>
    </row>
    <row r="13" spans="2:7" ht="24.25" x14ac:dyDescent="1.2">
      <c r="B13" s="134" t="s">
        <v>270</v>
      </c>
      <c r="C13" s="115" t="s">
        <v>18</v>
      </c>
      <c r="D13" s="115" t="s">
        <v>18</v>
      </c>
      <c r="E13" s="115" t="s">
        <v>18</v>
      </c>
      <c r="F13" s="136"/>
      <c r="G13" s="137"/>
    </row>
    <row r="14" spans="2:7" ht="24.25" x14ac:dyDescent="1.2">
      <c r="B14" s="134" t="s">
        <v>319</v>
      </c>
      <c r="C14" s="115" t="s">
        <v>18</v>
      </c>
      <c r="D14" s="115" t="s">
        <v>18</v>
      </c>
      <c r="E14" s="115"/>
      <c r="F14" s="115"/>
      <c r="G14" s="135"/>
    </row>
    <row r="15" spans="2:7" ht="24.25" x14ac:dyDescent="1.2">
      <c r="B15" s="134" t="s">
        <v>269</v>
      </c>
      <c r="C15" s="115" t="s">
        <v>18</v>
      </c>
      <c r="D15" s="115" t="s">
        <v>18</v>
      </c>
      <c r="E15" s="115" t="s">
        <v>18</v>
      </c>
      <c r="F15" s="136"/>
      <c r="G15" s="137"/>
    </row>
    <row r="16" spans="2:7" ht="24.25" x14ac:dyDescent="1.2">
      <c r="B16" s="134" t="s">
        <v>117</v>
      </c>
      <c r="C16" s="115" t="s">
        <v>18</v>
      </c>
      <c r="D16" s="115" t="s">
        <v>18</v>
      </c>
      <c r="E16" s="136"/>
      <c r="F16" s="136"/>
      <c r="G16" s="137"/>
    </row>
    <row r="17" spans="2:7" ht="24.25" x14ac:dyDescent="1.2">
      <c r="B17" s="134" t="s">
        <v>127</v>
      </c>
      <c r="C17" s="115" t="s">
        <v>18</v>
      </c>
      <c r="D17" s="115" t="s">
        <v>18</v>
      </c>
      <c r="E17" s="115"/>
      <c r="F17" s="115"/>
      <c r="G17" s="135"/>
    </row>
    <row r="18" spans="2:7" ht="24.25" x14ac:dyDescent="1.2">
      <c r="B18" s="134" t="s">
        <v>274</v>
      </c>
      <c r="C18" s="115" t="s">
        <v>18</v>
      </c>
      <c r="D18" s="115" t="s">
        <v>18</v>
      </c>
      <c r="E18" s="115" t="s">
        <v>18</v>
      </c>
      <c r="F18" s="136"/>
      <c r="G18" s="137"/>
    </row>
    <row r="19" spans="2:7" ht="24.25" x14ac:dyDescent="1.2">
      <c r="B19" s="134" t="s">
        <v>271</v>
      </c>
      <c r="C19" s="115" t="s">
        <v>18</v>
      </c>
      <c r="D19" s="115"/>
      <c r="E19" s="115" t="s">
        <v>18</v>
      </c>
      <c r="F19" s="136"/>
      <c r="G19" s="137"/>
    </row>
    <row r="20" spans="2:7" ht="24.25" x14ac:dyDescent="1.2">
      <c r="B20" s="134" t="s">
        <v>324</v>
      </c>
      <c r="C20" s="136"/>
      <c r="D20" s="115" t="s">
        <v>18</v>
      </c>
      <c r="E20" s="115" t="s">
        <v>18</v>
      </c>
      <c r="F20" s="136"/>
      <c r="G20" s="137"/>
    </row>
    <row r="21" spans="2:7" ht="24.25" x14ac:dyDescent="1.2">
      <c r="B21" s="134" t="s">
        <v>273</v>
      </c>
      <c r="C21" s="115" t="s">
        <v>18</v>
      </c>
      <c r="D21" s="115" t="s">
        <v>18</v>
      </c>
      <c r="E21" s="115" t="s">
        <v>18</v>
      </c>
      <c r="F21" s="136"/>
      <c r="G21" s="137"/>
    </row>
    <row r="22" spans="2:7" ht="24.25" x14ac:dyDescent="1.2">
      <c r="B22" s="134" t="s">
        <v>262</v>
      </c>
      <c r="C22" s="115" t="s">
        <v>18</v>
      </c>
      <c r="D22" s="138" t="s">
        <v>18</v>
      </c>
      <c r="E22" s="115"/>
      <c r="F22" s="115"/>
      <c r="G22" s="135"/>
    </row>
    <row r="23" spans="2:7" ht="24.25" x14ac:dyDescent="1.2">
      <c r="B23" s="134" t="s">
        <v>116</v>
      </c>
      <c r="C23" s="67"/>
      <c r="D23" s="115" t="s">
        <v>18</v>
      </c>
      <c r="E23" s="136"/>
      <c r="F23" s="136"/>
      <c r="G23" s="137"/>
    </row>
    <row r="24" spans="2:7" ht="24.25" x14ac:dyDescent="1.2">
      <c r="B24" s="134" t="s">
        <v>272</v>
      </c>
      <c r="C24" s="115" t="s">
        <v>18</v>
      </c>
      <c r="D24" s="115"/>
      <c r="E24" s="115" t="s">
        <v>18</v>
      </c>
      <c r="F24" s="136"/>
      <c r="G24" s="137"/>
    </row>
    <row r="25" spans="2:7" ht="25" thickBot="1" x14ac:dyDescent="1.35">
      <c r="B25" s="139" t="s">
        <v>275</v>
      </c>
      <c r="C25" s="140" t="s">
        <v>18</v>
      </c>
      <c r="D25" s="140"/>
      <c r="E25" s="140"/>
      <c r="F25" s="140"/>
      <c r="G25" s="14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4AB1-9EBE-4D2E-84A4-A495FD9288B9}">
  <dimension ref="A1:AU18"/>
  <sheetViews>
    <sheetView topLeftCell="A10" zoomScaleNormal="100" workbookViewId="0">
      <selection activeCell="O17" sqref="O17"/>
    </sheetView>
  </sheetViews>
  <sheetFormatPr defaultColWidth="20" defaultRowHeight="17.5" customHeight="1" x14ac:dyDescent="0.75"/>
  <cols>
    <col min="1" max="1" width="8.31640625" style="65" customWidth="1"/>
    <col min="2" max="2" width="21" customWidth="1"/>
    <col min="3" max="3" width="28.6796875" customWidth="1"/>
    <col min="4" max="4" width="24.81640625" customWidth="1"/>
    <col min="5" max="5" width="46.81640625" customWidth="1"/>
    <col min="6" max="6" width="10.81640625" style="65" customWidth="1"/>
    <col min="7" max="8" width="15.6796875" style="65" customWidth="1"/>
    <col min="9" max="9" width="13.54296875" customWidth="1"/>
    <col min="10" max="10" width="21.54296875" customWidth="1"/>
  </cols>
  <sheetData>
    <row r="1" spans="1:47" s="66" customFormat="1" ht="17.5" customHeight="1" thickBot="1" x14ac:dyDescent="0.9">
      <c r="A1" s="65"/>
      <c r="B1"/>
      <c r="C1"/>
      <c r="D1"/>
      <c r="E1"/>
      <c r="F1" s="65"/>
      <c r="G1" s="65"/>
      <c r="H1" s="65"/>
      <c r="J1"/>
      <c r="K1"/>
      <c r="L1"/>
      <c r="M1"/>
      <c r="N1"/>
      <c r="O1"/>
      <c r="P1"/>
      <c r="Q1"/>
      <c r="R1"/>
      <c r="S1"/>
      <c r="T1"/>
      <c r="U1"/>
      <c r="V1"/>
      <c r="W1"/>
      <c r="X1"/>
      <c r="Y1"/>
      <c r="Z1"/>
      <c r="AA1"/>
      <c r="AB1"/>
      <c r="AC1"/>
      <c r="AD1"/>
      <c r="AE1"/>
      <c r="AF1"/>
      <c r="AG1"/>
      <c r="AH1"/>
      <c r="AI1"/>
      <c r="AJ1"/>
      <c r="AK1"/>
      <c r="AL1"/>
      <c r="AM1"/>
      <c r="AN1"/>
      <c r="AO1"/>
      <c r="AP1"/>
      <c r="AQ1"/>
      <c r="AR1"/>
      <c r="AS1"/>
      <c r="AT1"/>
      <c r="AU1"/>
    </row>
    <row r="2" spans="1:47" s="67" customFormat="1" ht="34" customHeight="1" thickBot="1" x14ac:dyDescent="0.95">
      <c r="A2" s="84"/>
      <c r="B2" s="85" t="s">
        <v>240</v>
      </c>
      <c r="C2" s="86" t="s">
        <v>241</v>
      </c>
      <c r="D2" s="86" t="s">
        <v>242</v>
      </c>
      <c r="E2" s="86" t="s">
        <v>314</v>
      </c>
      <c r="F2" s="101" t="s">
        <v>298</v>
      </c>
      <c r="G2" s="101" t="s">
        <v>294</v>
      </c>
      <c r="H2" s="101" t="s">
        <v>299</v>
      </c>
      <c r="I2" s="102" t="s">
        <v>308</v>
      </c>
      <c r="J2" s="103" t="s">
        <v>300</v>
      </c>
      <c r="K2"/>
      <c r="L2"/>
      <c r="M2"/>
      <c r="N2"/>
      <c r="O2"/>
      <c r="P2"/>
      <c r="Q2"/>
      <c r="R2"/>
      <c r="S2"/>
      <c r="T2"/>
      <c r="U2"/>
      <c r="V2"/>
      <c r="W2"/>
      <c r="X2"/>
      <c r="Y2"/>
      <c r="Z2"/>
      <c r="AA2"/>
      <c r="AB2"/>
      <c r="AC2"/>
      <c r="AD2"/>
      <c r="AE2"/>
      <c r="AF2"/>
      <c r="AG2"/>
      <c r="AH2"/>
      <c r="AI2"/>
      <c r="AJ2"/>
      <c r="AK2"/>
      <c r="AL2"/>
      <c r="AM2"/>
      <c r="AN2"/>
      <c r="AO2"/>
      <c r="AP2"/>
      <c r="AQ2"/>
      <c r="AR2"/>
      <c r="AS2"/>
      <c r="AT2"/>
      <c r="AU2"/>
    </row>
    <row r="3" spans="1:47" s="67" customFormat="1" ht="27.65" customHeight="1" x14ac:dyDescent="0.8">
      <c r="A3" s="104" t="s">
        <v>234</v>
      </c>
      <c r="B3" s="105" t="s">
        <v>243</v>
      </c>
      <c r="C3" s="88" t="s">
        <v>246</v>
      </c>
      <c r="D3" s="108" t="s">
        <v>260</v>
      </c>
      <c r="E3" s="109" t="s">
        <v>280</v>
      </c>
      <c r="F3" s="94" t="s">
        <v>301</v>
      </c>
      <c r="G3" s="106" t="s">
        <v>311</v>
      </c>
      <c r="H3" s="90"/>
      <c r="I3" s="89" t="s">
        <v>313</v>
      </c>
      <c r="J3" s="91"/>
      <c r="K3"/>
      <c r="L3"/>
      <c r="M3"/>
      <c r="N3"/>
      <c r="O3"/>
      <c r="P3"/>
      <c r="Q3"/>
      <c r="R3"/>
      <c r="S3"/>
      <c r="T3"/>
      <c r="U3"/>
      <c r="V3"/>
      <c r="W3"/>
      <c r="X3"/>
      <c r="Y3"/>
      <c r="Z3"/>
      <c r="AA3"/>
      <c r="AB3"/>
      <c r="AC3"/>
      <c r="AD3"/>
      <c r="AE3"/>
      <c r="AF3"/>
      <c r="AG3"/>
      <c r="AH3"/>
      <c r="AI3"/>
      <c r="AJ3"/>
      <c r="AK3"/>
      <c r="AL3"/>
      <c r="AM3"/>
      <c r="AN3"/>
      <c r="AO3"/>
      <c r="AP3"/>
      <c r="AQ3"/>
      <c r="AR3"/>
      <c r="AS3"/>
      <c r="AT3"/>
      <c r="AU3"/>
    </row>
    <row r="4" spans="1:47" s="67" customFormat="1" ht="27.65" customHeight="1" x14ac:dyDescent="0.8">
      <c r="A4" s="68" t="s">
        <v>234</v>
      </c>
      <c r="B4" s="77" t="s">
        <v>93</v>
      </c>
      <c r="C4" s="75" t="s">
        <v>248</v>
      </c>
      <c r="D4" s="110" t="s">
        <v>252</v>
      </c>
      <c r="E4" s="114" t="s">
        <v>282</v>
      </c>
      <c r="F4" s="95" t="s">
        <v>301</v>
      </c>
      <c r="G4" s="98" t="s">
        <v>312</v>
      </c>
      <c r="H4" s="87"/>
      <c r="I4" s="73" t="s">
        <v>313</v>
      </c>
      <c r="J4" s="92"/>
      <c r="K4"/>
      <c r="L4"/>
      <c r="M4"/>
      <c r="N4"/>
      <c r="O4"/>
      <c r="P4"/>
      <c r="Q4"/>
      <c r="R4"/>
      <c r="S4"/>
      <c r="T4"/>
      <c r="U4"/>
      <c r="V4"/>
      <c r="W4"/>
      <c r="X4"/>
      <c r="Y4"/>
      <c r="Z4"/>
      <c r="AA4"/>
      <c r="AB4"/>
      <c r="AC4"/>
      <c r="AD4"/>
      <c r="AE4"/>
      <c r="AF4"/>
      <c r="AG4"/>
      <c r="AH4"/>
      <c r="AI4"/>
      <c r="AJ4"/>
      <c r="AK4"/>
      <c r="AL4"/>
      <c r="AM4"/>
      <c r="AN4"/>
      <c r="AO4"/>
      <c r="AP4"/>
      <c r="AQ4"/>
      <c r="AR4"/>
      <c r="AS4"/>
      <c r="AT4"/>
      <c r="AU4"/>
    </row>
    <row r="5" spans="1:47" s="67" customFormat="1" ht="27.65" customHeight="1" x14ac:dyDescent="0.8">
      <c r="A5" s="68" t="s">
        <v>236</v>
      </c>
      <c r="B5" s="77" t="s">
        <v>244</v>
      </c>
      <c r="C5" s="75" t="s">
        <v>290</v>
      </c>
      <c r="D5" s="110" t="s">
        <v>285</v>
      </c>
      <c r="E5" s="111" t="s">
        <v>297</v>
      </c>
      <c r="F5" s="95" t="s">
        <v>301</v>
      </c>
      <c r="G5" s="98" t="s">
        <v>310</v>
      </c>
      <c r="H5" s="73"/>
      <c r="I5" s="73" t="s">
        <v>313</v>
      </c>
      <c r="J5" s="71"/>
      <c r="K5"/>
      <c r="L5"/>
      <c r="M5"/>
      <c r="N5"/>
      <c r="O5"/>
      <c r="P5"/>
      <c r="Q5"/>
      <c r="R5"/>
      <c r="S5"/>
      <c r="T5"/>
      <c r="U5"/>
      <c r="V5"/>
      <c r="W5"/>
      <c r="X5"/>
      <c r="Y5"/>
      <c r="Z5"/>
      <c r="AA5"/>
      <c r="AB5"/>
      <c r="AC5"/>
      <c r="AD5"/>
      <c r="AE5"/>
      <c r="AF5"/>
      <c r="AG5"/>
      <c r="AH5"/>
      <c r="AI5"/>
      <c r="AJ5"/>
      <c r="AK5"/>
      <c r="AL5"/>
      <c r="AM5"/>
      <c r="AN5"/>
      <c r="AO5"/>
      <c r="AP5"/>
      <c r="AQ5"/>
      <c r="AR5"/>
      <c r="AS5"/>
      <c r="AT5"/>
      <c r="AU5"/>
    </row>
    <row r="6" spans="1:47" s="67" customFormat="1" ht="65.5" customHeight="1" x14ac:dyDescent="0.8">
      <c r="A6" s="107" t="s">
        <v>236</v>
      </c>
      <c r="B6" s="77" t="s">
        <v>235</v>
      </c>
      <c r="C6" s="74" t="s">
        <v>247</v>
      </c>
      <c r="D6" s="111" t="s">
        <v>292</v>
      </c>
      <c r="E6" s="111" t="s">
        <v>304</v>
      </c>
      <c r="F6" s="95" t="s">
        <v>301</v>
      </c>
      <c r="G6" s="95" t="s">
        <v>301</v>
      </c>
      <c r="H6" s="99" t="s">
        <v>306</v>
      </c>
      <c r="I6" s="73" t="s">
        <v>313</v>
      </c>
      <c r="J6" s="100" t="s">
        <v>316</v>
      </c>
      <c r="K6"/>
      <c r="L6"/>
      <c r="M6"/>
      <c r="N6"/>
      <c r="O6"/>
      <c r="P6"/>
      <c r="Q6"/>
      <c r="R6"/>
      <c r="S6"/>
      <c r="T6"/>
      <c r="U6"/>
      <c r="V6"/>
      <c r="W6"/>
      <c r="X6"/>
      <c r="Y6"/>
      <c r="Z6"/>
      <c r="AA6"/>
      <c r="AB6"/>
      <c r="AC6"/>
      <c r="AD6"/>
      <c r="AE6"/>
      <c r="AF6"/>
      <c r="AG6"/>
      <c r="AH6"/>
      <c r="AI6"/>
      <c r="AJ6"/>
      <c r="AK6"/>
      <c r="AL6"/>
      <c r="AM6"/>
      <c r="AN6"/>
      <c r="AO6"/>
      <c r="AP6"/>
      <c r="AQ6"/>
      <c r="AR6"/>
      <c r="AS6"/>
      <c r="AT6"/>
      <c r="AU6"/>
    </row>
    <row r="7" spans="1:47" s="67" customFormat="1" ht="33.65" customHeight="1" x14ac:dyDescent="0.8">
      <c r="A7" s="107" t="s">
        <v>236</v>
      </c>
      <c r="B7" s="78" t="s">
        <v>156</v>
      </c>
      <c r="C7" s="74" t="s">
        <v>293</v>
      </c>
      <c r="D7" s="111" t="s">
        <v>276</v>
      </c>
      <c r="E7" s="111" t="s">
        <v>291</v>
      </c>
      <c r="F7" s="95" t="s">
        <v>301</v>
      </c>
      <c r="G7" s="98" t="s">
        <v>310</v>
      </c>
      <c r="H7" s="73"/>
      <c r="I7" s="73" t="s">
        <v>307</v>
      </c>
      <c r="J7" s="71"/>
      <c r="K7"/>
      <c r="L7"/>
      <c r="M7"/>
      <c r="N7"/>
      <c r="O7"/>
      <c r="P7"/>
      <c r="Q7"/>
      <c r="R7"/>
      <c r="S7"/>
      <c r="T7"/>
      <c r="U7"/>
      <c r="V7"/>
      <c r="W7"/>
      <c r="X7"/>
      <c r="Y7"/>
      <c r="Z7"/>
      <c r="AA7"/>
      <c r="AB7"/>
      <c r="AC7"/>
      <c r="AD7"/>
      <c r="AE7"/>
      <c r="AF7"/>
      <c r="AG7"/>
      <c r="AH7"/>
      <c r="AI7"/>
      <c r="AJ7"/>
      <c r="AK7"/>
      <c r="AL7"/>
      <c r="AM7"/>
      <c r="AN7"/>
      <c r="AO7"/>
      <c r="AP7"/>
      <c r="AQ7"/>
      <c r="AR7"/>
      <c r="AS7"/>
      <c r="AT7"/>
      <c r="AU7"/>
    </row>
    <row r="8" spans="1:47" s="67" customFormat="1" ht="27.65" customHeight="1" x14ac:dyDescent="0.8">
      <c r="A8" s="107" t="s">
        <v>236</v>
      </c>
      <c r="B8" s="77" t="s">
        <v>155</v>
      </c>
      <c r="C8" s="74" t="s">
        <v>249</v>
      </c>
      <c r="D8" s="111" t="s">
        <v>255</v>
      </c>
      <c r="E8" s="111" t="s">
        <v>315</v>
      </c>
      <c r="F8" s="95" t="s">
        <v>301</v>
      </c>
      <c r="G8" s="95" t="s">
        <v>301</v>
      </c>
      <c r="H8" s="95" t="s">
        <v>301</v>
      </c>
      <c r="I8" s="73" t="s">
        <v>307</v>
      </c>
      <c r="J8" s="93" t="s">
        <v>296</v>
      </c>
      <c r="K8"/>
      <c r="L8"/>
      <c r="M8"/>
      <c r="N8"/>
      <c r="O8"/>
      <c r="P8"/>
      <c r="Q8"/>
      <c r="R8"/>
      <c r="S8"/>
      <c r="T8"/>
      <c r="U8"/>
      <c r="V8"/>
      <c r="W8"/>
      <c r="X8"/>
      <c r="Y8"/>
      <c r="Z8"/>
      <c r="AA8"/>
      <c r="AB8"/>
      <c r="AC8"/>
      <c r="AD8"/>
      <c r="AE8"/>
      <c r="AF8"/>
      <c r="AG8"/>
      <c r="AH8"/>
      <c r="AI8"/>
      <c r="AJ8"/>
      <c r="AK8"/>
      <c r="AL8"/>
      <c r="AM8"/>
      <c r="AN8"/>
      <c r="AO8"/>
      <c r="AP8"/>
      <c r="AQ8"/>
      <c r="AR8"/>
      <c r="AS8"/>
      <c r="AT8"/>
      <c r="AU8"/>
    </row>
    <row r="9" spans="1:47" s="67" customFormat="1" ht="27.65" customHeight="1" x14ac:dyDescent="0.8">
      <c r="A9" s="107" t="s">
        <v>236</v>
      </c>
      <c r="B9" s="77" t="s">
        <v>237</v>
      </c>
      <c r="C9" s="75" t="s">
        <v>238</v>
      </c>
      <c r="D9" s="110" t="s">
        <v>288</v>
      </c>
      <c r="E9" s="111" t="s">
        <v>286</v>
      </c>
      <c r="F9" s="95" t="s">
        <v>301</v>
      </c>
      <c r="G9" s="95" t="s">
        <v>301</v>
      </c>
      <c r="H9" s="99" t="s">
        <v>306</v>
      </c>
      <c r="I9" s="73" t="s">
        <v>313</v>
      </c>
      <c r="J9" s="93" t="s">
        <v>296</v>
      </c>
      <c r="K9"/>
      <c r="L9"/>
      <c r="M9"/>
      <c r="N9"/>
      <c r="O9"/>
      <c r="P9"/>
      <c r="Q9"/>
      <c r="R9"/>
      <c r="S9"/>
      <c r="T9"/>
      <c r="U9"/>
      <c r="V9"/>
      <c r="W9"/>
      <c r="X9"/>
      <c r="Y9"/>
      <c r="Z9"/>
      <c r="AA9"/>
      <c r="AB9"/>
      <c r="AC9"/>
      <c r="AD9"/>
      <c r="AE9"/>
      <c r="AF9"/>
      <c r="AG9"/>
      <c r="AH9"/>
      <c r="AI9"/>
      <c r="AJ9"/>
      <c r="AK9"/>
      <c r="AL9"/>
      <c r="AM9"/>
      <c r="AN9"/>
      <c r="AO9"/>
      <c r="AP9"/>
      <c r="AQ9"/>
      <c r="AR9"/>
      <c r="AS9"/>
      <c r="AT9"/>
      <c r="AU9"/>
    </row>
    <row r="10" spans="1:47" s="67" customFormat="1" ht="43.5" customHeight="1" x14ac:dyDescent="0.8">
      <c r="A10" s="107" t="s">
        <v>236</v>
      </c>
      <c r="B10" s="79" t="s">
        <v>239</v>
      </c>
      <c r="C10" s="76" t="s">
        <v>117</v>
      </c>
      <c r="D10" s="112" t="s">
        <v>259</v>
      </c>
      <c r="E10" s="111" t="s">
        <v>256</v>
      </c>
      <c r="F10" s="95" t="s">
        <v>301</v>
      </c>
      <c r="G10" s="95" t="s">
        <v>301</v>
      </c>
      <c r="H10" s="98" t="s">
        <v>309</v>
      </c>
      <c r="I10" s="73" t="s">
        <v>307</v>
      </c>
      <c r="J10" s="71"/>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row>
    <row r="11" spans="1:47" s="67" customFormat="1" ht="27.65" customHeight="1" x14ac:dyDescent="0.8">
      <c r="A11" s="68" t="s">
        <v>234</v>
      </c>
      <c r="B11" s="83" t="s">
        <v>302</v>
      </c>
      <c r="C11" s="75" t="s">
        <v>117</v>
      </c>
      <c r="D11" s="111" t="s">
        <v>295</v>
      </c>
      <c r="E11" s="111" t="s">
        <v>305</v>
      </c>
      <c r="F11" s="95" t="s">
        <v>301</v>
      </c>
      <c r="G11" s="73"/>
      <c r="H11" s="73"/>
      <c r="I11" s="73" t="s">
        <v>307</v>
      </c>
      <c r="J11" s="7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row>
    <row r="12" spans="1:47" s="67" customFormat="1" ht="32.5" customHeight="1" x14ac:dyDescent="0.8">
      <c r="A12" s="68" t="s">
        <v>234</v>
      </c>
      <c r="B12" s="78" t="s">
        <v>232</v>
      </c>
      <c r="C12" s="74" t="s">
        <v>277</v>
      </c>
      <c r="D12" s="111" t="s">
        <v>251</v>
      </c>
      <c r="E12" s="111" t="s">
        <v>278</v>
      </c>
      <c r="F12" s="95" t="s">
        <v>301</v>
      </c>
      <c r="G12" s="95" t="s">
        <v>301</v>
      </c>
      <c r="H12" s="73"/>
      <c r="I12" s="73" t="s">
        <v>307</v>
      </c>
      <c r="J12" s="71"/>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row>
    <row r="13" spans="1:47" s="70" customFormat="1" ht="36.65" customHeight="1" thickBot="1" x14ac:dyDescent="0.95">
      <c r="A13" s="68" t="s">
        <v>234</v>
      </c>
      <c r="B13" s="78" t="s">
        <v>25</v>
      </c>
      <c r="C13" s="74" t="s">
        <v>245</v>
      </c>
      <c r="D13" s="111" t="s">
        <v>250</v>
      </c>
      <c r="E13" s="111" t="s">
        <v>279</v>
      </c>
      <c r="F13" s="95" t="s">
        <v>301</v>
      </c>
      <c r="G13" s="95" t="s">
        <v>301</v>
      </c>
      <c r="H13" s="73"/>
      <c r="I13" s="73" t="s">
        <v>307</v>
      </c>
      <c r="J13" s="71"/>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row>
    <row r="14" spans="1:47" ht="27.65" customHeight="1" x14ac:dyDescent="0.8">
      <c r="A14" s="68" t="s">
        <v>234</v>
      </c>
      <c r="B14" s="78" t="s">
        <v>303</v>
      </c>
      <c r="C14" s="74" t="s">
        <v>247</v>
      </c>
      <c r="D14" s="111" t="s">
        <v>258</v>
      </c>
      <c r="E14" s="111" t="s">
        <v>281</v>
      </c>
      <c r="F14" s="95" t="s">
        <v>301</v>
      </c>
      <c r="G14" s="98" t="s">
        <v>309</v>
      </c>
      <c r="H14" s="73"/>
      <c r="I14" s="73" t="s">
        <v>313</v>
      </c>
      <c r="J14" s="71"/>
    </row>
    <row r="15" spans="1:47" ht="27.65" customHeight="1" x14ac:dyDescent="0.8">
      <c r="A15" s="68" t="s">
        <v>234</v>
      </c>
      <c r="B15" s="78" t="s">
        <v>233</v>
      </c>
      <c r="C15" s="74" t="s">
        <v>144</v>
      </c>
      <c r="D15" s="111" t="s">
        <v>253</v>
      </c>
      <c r="E15" s="111" t="s">
        <v>283</v>
      </c>
      <c r="F15" s="95" t="s">
        <v>301</v>
      </c>
      <c r="G15" s="95" t="s">
        <v>301</v>
      </c>
      <c r="H15" s="73"/>
      <c r="I15" s="73" t="s">
        <v>307</v>
      </c>
      <c r="J15" s="71"/>
    </row>
    <row r="16" spans="1:47" ht="27.65" customHeight="1" x14ac:dyDescent="0.8">
      <c r="A16" s="68" t="s">
        <v>234</v>
      </c>
      <c r="B16" s="78" t="s">
        <v>121</v>
      </c>
      <c r="C16" s="74" t="s">
        <v>122</v>
      </c>
      <c r="D16" s="111" t="s">
        <v>254</v>
      </c>
      <c r="E16" s="111" t="s">
        <v>287</v>
      </c>
      <c r="F16" s="95" t="s">
        <v>301</v>
      </c>
      <c r="G16" s="95" t="s">
        <v>301</v>
      </c>
      <c r="H16" s="73"/>
      <c r="I16" s="73" t="s">
        <v>313</v>
      </c>
      <c r="J16" s="71"/>
    </row>
    <row r="17" spans="1:10" ht="36.65" customHeight="1" thickBot="1" x14ac:dyDescent="0.95">
      <c r="A17" s="69" t="s">
        <v>234</v>
      </c>
      <c r="B17" s="80" t="s">
        <v>125</v>
      </c>
      <c r="C17" s="81" t="s">
        <v>127</v>
      </c>
      <c r="D17" s="113" t="s">
        <v>257</v>
      </c>
      <c r="E17" s="113" t="s">
        <v>284</v>
      </c>
      <c r="F17" s="96" t="s">
        <v>301</v>
      </c>
      <c r="G17" s="96" t="s">
        <v>301</v>
      </c>
      <c r="H17" s="97" t="s">
        <v>311</v>
      </c>
      <c r="I17" s="82" t="s">
        <v>313</v>
      </c>
      <c r="J17" s="72"/>
    </row>
    <row r="18" spans="1:10" ht="17.5" customHeight="1" x14ac:dyDescent="0.75">
      <c r="I18" s="65"/>
    </row>
  </sheetData>
  <autoFilter ref="B2:J17" xr:uid="{28F74AB1-9EBE-4D2E-84A4-A495FD9288B9}"/>
  <phoneticPr fontId="2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Batch 4</vt:lpstr>
      <vt:lpstr>Leaders Members</vt:lpstr>
      <vt:lpstr>Training Hours</vt:lpstr>
      <vt:lpstr>Training Subject</vt:lpstr>
      <vt:lpstr>Summary</vt:lpstr>
    </vt:vector>
  </TitlesOfParts>
  <Company>Microchip Technology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Angelica Capistrano - A70548</dc:creator>
  <cp:lastModifiedBy>Donald Cruz - A67331</cp:lastModifiedBy>
  <dcterms:created xsi:type="dcterms:W3CDTF">2025-10-03T01:28:20Z</dcterms:created>
  <dcterms:modified xsi:type="dcterms:W3CDTF">2026-10-21T06:35:03Z</dcterms:modified>
</cp:coreProperties>
</file>